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94984c96e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d98ce5d4cb1402a"/>
    <x:sheet xmlns:r="http://schemas.openxmlformats.org/officeDocument/2006/relationships" name="Claims Audit" sheetId="2" r:id="Rea543e963bb347fe"/>
    <x:sheet xmlns:r="http://schemas.openxmlformats.org/officeDocument/2006/relationships" name="Data Quality" sheetId="3" r:id="Ra256453a52ef4aad"/>
    <x:sheet xmlns:r="http://schemas.openxmlformats.org/officeDocument/2006/relationships" name="Descriptives" sheetId="4" r:id="R9c723fcc878446bd"/>
    <x:sheet xmlns:r="http://schemas.openxmlformats.org/officeDocument/2006/relationships" name="H1 Repeated Errors" sheetId="5" r:id="R0e5a9abfe15c44ac"/>
    <x:sheet xmlns:r="http://schemas.openxmlformats.org/officeDocument/2006/relationships" name="H2 Consistency" sheetId="6" r:id="R0998364ead544655"/>
    <x:sheet xmlns:r="http://schemas.openxmlformats.org/officeDocument/2006/relationships" name="H3 Attention" sheetId="7" r:id="R7cdb666135354666"/>
    <x:sheet xmlns:r="http://schemas.openxmlformats.org/officeDocument/2006/relationships" name="H4 Behavior" sheetId="8" r:id="Rc30023be29f2463c"/>
    <x:sheet xmlns:r="http://schemas.openxmlformats.org/officeDocument/2006/relationships" name="Scale Reliability" sheetId="9" r:id="Rfd41183d52c649fb"/>
    <x:sheet xmlns:r="http://schemas.openxmlformats.org/officeDocument/2006/relationships" name="Counts" sheetId="10" r:id="R023616c346cb4425"/>
    <x:sheet xmlns:r="http://schemas.openxmlformats.org/officeDocument/2006/relationships" name="Sources" sheetId="11" r:id="R625dc717f231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"/>
    <x:numFmt numFmtId="201" formatCode="0.0000"/>
    <x:numFmt numFmtId="202" formatCode="#,##0"/>
    <x:numFmt numFmtId="203" formatCode="0"/>
    <x:numFmt numFmtId="204" formatCode="#,##0.000"/>
    <x:numFmt numFmtId="205" formatCode="0.0"/>
    <x:numFmt numFmtId="206" formatCode="0.00E+00"/>
    <x:numFmt numFmtId="207" formatCode="0.00"/>
    <x:numFmt numFmtId="208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3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0"/>
      <x:color rgb="FF1F29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A"/>
      </x:patternFill>
    </x:fill>
    <x:fill>
      <x:patternFill patternType="solid">
        <x:fgColor rgb="FF117C7B"/>
      </x:patternFill>
    </x:fill>
    <x:fill>
      <x:patternFill patternType="solid">
        <x:fgColor rgb="FFE8F5EC"/>
      </x:patternFill>
    </x:fill>
    <x:fill>
      <x:patternFill patternType="solid">
        <x:fgColor rgb="FFFFF7E6"/>
      </x:patternFill>
    </x:fill>
    <x:fill>
      <x:patternFill patternType="solid">
        <x:fgColor rgb="FFFDECEC"/>
      </x:patternFill>
    </x:fill>
  </x:fills>
  <x:borders count="9">
    <x:border/>
    <x:border>
      <x:right style="thin">
        <x:color rgb="FFD8DEE8"/>
      </x:right>
    </x:border>
    <x:border>
      <x:left style="thin">
        <x:color rgb="FFD8DEE8"/>
      </x:left>
      <x:right style="thin">
        <x:color rgb="FFD8DEE8"/>
      </x:right>
    </x:border>
    <x:border>
      <x:left style="thin">
        <x:color rgb="FFD8DEE8"/>
      </x:left>
    </x:border>
    <x:border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  <x:border>
      <x:top style="thin">
        <x:color rgb="FFD8DEE8"/>
      </x:top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1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5" borderId="4" xfId="0" applyNumberFormat="1" applyFont="1" applyFill="1" applyBorder="1" applyAlignment="1">
      <x:alignment vertical="top"/>
    </x:xf>
    <x:xf numFmtId="0" fontId="5" fillId="5" borderId="4" xfId="0" applyNumberFormat="1" applyFont="1" applyFill="1" applyBorder="1" applyAlignment="1">
      <x:alignment vertical="top"/>
    </x:xf>
    <x:xf numFmtId="0" fontId="5" fillId="5" borderId="4" xfId="0" applyNumberFormat="1" applyFont="1" applyFill="1" applyBorder="1" applyAlignment="1">
      <x:alignment horizontal="center" vertical="top"/>
    </x:xf>
    <x:xf numFmtId="0" fontId="4" fillId="5" borderId="5" xfId="0" applyNumberFormat="1" applyFont="1" applyFill="1" applyBorder="1" applyAlignment="1">
      <x:alignment vertical="top"/>
    </x:xf>
    <x:xf numFmtId="0" fontId="5" fillId="5" borderId="5" xfId="0" applyNumberFormat="1" applyFont="1" applyFill="1" applyBorder="1" applyAlignment="1">
      <x:alignment vertical="top"/>
    </x:xf>
    <x:xf numFmtId="0" fontId="5" fillId="5" borderId="5" xfId="0" applyNumberFormat="1" applyFont="1" applyFill="1" applyBorder="1" applyAlignment="1">
      <x:alignment horizontal="center" vertical="top"/>
    </x:xf>
    <x:xf numFmtId="0" fontId="4" fillId="6" borderId="5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horizontal="center" vertical="top"/>
    </x:xf>
    <x:xf numFmtId="0" fontId="4" fillId="7" borderId="6" xfId="0" applyNumberFormat="1" applyFont="1" applyFill="1" applyBorder="1" applyAlignment="1">
      <x:alignment vertical="top"/>
    </x:xf>
    <x:xf numFmtId="0" fontId="5" fillId="7" borderId="6" xfId="0" applyNumberFormat="1" applyFont="1" applyFill="1" applyBorder="1" applyAlignment="1">
      <x:alignment vertical="top"/>
    </x:xf>
    <x:xf numFmtId="0" fontId="5" fillId="7" borderId="6" xfId="0" applyNumberFormat="1" applyFont="1" applyFill="1" applyBorder="1" applyAlignment="1">
      <x:alignment horizontal="center" vertical="top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7" xfId="0" applyNumberFormat="1" applyFont="1" applyFill="1" applyBorder="1"/>
    <x:xf numFmtId="0" fontId="2" fillId="6" borderId="5" xfId="0" applyNumberFormat="1" applyFont="1" applyFill="1" applyBorder="1"/>
    <x:xf numFmtId="0" fontId="2" fillId="6" borderId="8" xfId="0" applyNumberFormat="1" applyFont="1" applyFill="1" applyBorder="1"/>
    <x:xf numFmtId="0" fontId="2" fillId="6" borderId="7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wrapText="1"/>
    </x:xf>
    <x:xf numFmtId="0" fontId="2" fillId="6" borderId="8" xfId="0" applyNumberFormat="1" applyFont="1" applyFill="1" applyBorder="1" applyAlignment="1">
      <x:alignment wrapText="1"/>
    </x:xf>
    <x:xf numFmtId="0" fontId="2" fillId="6" borderId="7" xfId="0" applyNumberFormat="1" applyFont="1" applyFill="1" applyBorder="1" applyAlignment="1">
      <x:alignment vertical="center" wrapText="1"/>
    </x:xf>
    <x:xf numFmtId="0" fontId="2" fillId="6" borderId="5" xfId="0" applyNumberFormat="1" applyFont="1" applyFill="1" applyBorder="1" applyAlignment="1">
      <x:alignment vertical="center" wrapText="1"/>
    </x:xf>
    <x:xf numFmtId="0" fontId="2" fillId="6" borderId="8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200" fontId="4" fillId="0" borderId="6" xfId="0" applyNumberFormat="1" applyFont="1" applyFill="1" applyBorder="1" applyAlignment="1">
      <x:alignment vertical="top"/>
    </x:xf>
    <x:xf numFmtId="201" fontId="4" fillId="0" borderId="4" xfId="0" applyNumberFormat="1" applyFont="1" applyFill="1" applyBorder="1" applyAlignment="1">
      <x:alignment vertical="top"/>
    </x:xf>
    <x:xf numFmtId="201" fontId="4" fillId="0" borderId="5" xfId="0" applyNumberFormat="1" applyFont="1" applyFill="1" applyBorder="1" applyAlignment="1">
      <x:alignment vertical="top"/>
    </x:xf>
    <x:xf numFmtId="201" fontId="4" fillId="0" borderId="6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7" xfId="0" applyNumberFormat="1" applyFont="1" applyFill="1" applyBorder="1"/>
    <x:xf numFmtId="0" fontId="2" fillId="5" borderId="5" xfId="0" applyNumberFormat="1" applyFont="1" applyFill="1" applyBorder="1"/>
    <x:xf numFmtId="0" fontId="2" fillId="5" borderId="8" xfId="0" applyNumberFormat="1" applyFont="1" applyFill="1" applyBorder="1"/>
    <x:xf numFmtId="0" fontId="2" fillId="5" borderId="7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5" borderId="8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top"/>
    </x:xf>
    <x:xf numFmtId="202" fontId="4" fillId="0" borderId="5" xfId="0" applyNumberFormat="1" applyFont="1" applyFill="1" applyBorder="1" applyAlignment="1">
      <x:alignment vertical="top"/>
    </x:xf>
    <x:xf numFmtId="202" fontId="4" fillId="0" borderId="6" xfId="0" applyNumberFormat="1" applyFont="1" applyFill="1" applyBorder="1" applyAlignment="1">
      <x:alignment vertical="top"/>
    </x:xf>
    <x:xf numFmtId="203" fontId="4" fillId="0" borderId="4" xfId="0" applyNumberFormat="1" applyFont="1" applyFill="1" applyBorder="1" applyAlignment="1">
      <x:alignment vertical="top"/>
    </x:xf>
    <x:xf numFmtId="203" fontId="4" fillId="0" borderId="5" xfId="0" applyNumberFormat="1" applyFont="1" applyFill="1" applyBorder="1" applyAlignment="1">
      <x:alignment vertical="top"/>
    </x:xf>
    <x:xf numFmtId="203" fontId="4" fillId="0" borderId="6" xfId="0" applyNumberFormat="1" applyFont="1" applyFill="1" applyBorder="1" applyAlignment="1">
      <x:alignment vertical="top"/>
    </x:xf>
    <x:xf numFmtId="204" fontId="4" fillId="0" borderId="4" xfId="0" applyNumberFormat="1" applyFont="1" applyFill="1" applyBorder="1" applyAlignment="1">
      <x:alignment vertical="top"/>
    </x:xf>
    <x:xf numFmtId="204" fontId="4" fillId="0" borderId="5" xfId="0" applyNumberFormat="1" applyFont="1" applyFill="1" applyBorder="1" applyAlignment="1">
      <x:alignment vertical="top"/>
    </x:xf>
    <x:xf numFmtId="204" fontId="4" fillId="0" borderId="6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7" xfId="0" applyNumberFormat="1" applyFont="1" applyFill="1" applyBorder="1"/>
    <x:xf numFmtId="0" fontId="2" fillId="7" borderId="5" xfId="0" applyNumberFormat="1" applyFont="1" applyFill="1" applyBorder="1"/>
    <x:xf numFmtId="0" fontId="2" fillId="7" borderId="8" xfId="0" applyNumberFormat="1" applyFont="1" applyFill="1" applyBorder="1"/>
    <x:xf numFmtId="0" fontId="2" fillId="7" borderId="7" xfId="0" applyNumberFormat="1" applyFont="1" applyFill="1" applyBorder="1" applyAlignment="1">
      <x:alignment wrapText="1"/>
    </x:xf>
    <x:xf numFmtId="0" fontId="2" fillId="7" borderId="5" xfId="0" applyNumberFormat="1" applyFont="1" applyFill="1" applyBorder="1" applyAlignment="1">
      <x:alignment wrapText="1"/>
    </x:xf>
    <x:xf numFmtId="0" fontId="2" fillId="7" borderId="8" xfId="0" applyNumberFormat="1" applyFont="1" applyFill="1" applyBorder="1" applyAlignment="1">
      <x:alignment wrapText="1"/>
    </x:xf>
    <x:xf numFmtId="0" fontId="2" fillId="7" borderId="7" xfId="0" applyNumberFormat="1" applyFont="1" applyFill="1" applyBorder="1" applyAlignment="1">
      <x:alignment vertical="center" wrapText="1"/>
    </x:xf>
    <x:xf numFmtId="0" fontId="2" fillId="7" borderId="5" xfId="0" applyNumberFormat="1" applyFont="1" applyFill="1" applyBorder="1" applyAlignment="1">
      <x:alignment vertical="center" wrapText="1"/>
    </x:xf>
    <x:xf numFmtId="0" fontId="2" fillId="7" borderId="8" xfId="0" applyNumberFormat="1" applyFont="1" applyFill="1" applyBorder="1" applyAlignment="1">
      <x:alignment vertical="center" wrapText="1"/>
    </x:xf>
    <x:xf numFmtId="205" fontId="4" fillId="0" borderId="4" xfId="0" applyNumberFormat="1" applyFont="1" applyFill="1" applyBorder="1" applyAlignment="1">
      <x:alignment vertical="top"/>
    </x:xf>
    <x:xf numFmtId="205" fontId="4" fillId="0" borderId="5" xfId="0" applyNumberFormat="1" applyFont="1" applyFill="1" applyBorder="1" applyAlignment="1">
      <x:alignment vertical="top"/>
    </x:xf>
    <x:xf numFmtId="205" fontId="4" fillId="0" borderId="6" xfId="0" applyNumberFormat="1" applyFont="1" applyFill="1" applyBorder="1" applyAlignment="1">
      <x:alignment vertical="top"/>
    </x:xf>
    <x:xf numFmtId="206" fontId="4" fillId="0" borderId="4" xfId="0" applyNumberFormat="1" applyFont="1" applyFill="1" applyBorder="1" applyAlignment="1">
      <x:alignment vertical="top"/>
    </x:xf>
    <x:xf numFmtId="206" fontId="4" fillId="0" borderId="6" xfId="0" applyNumberFormat="1" applyFont="1" applyFill="1" applyBorder="1" applyAlignment="1">
      <x:alignment vertical="top"/>
    </x:xf>
    <x:xf numFmtId="207" fontId="4" fillId="0" borderId="4" xfId="0" applyNumberFormat="1" applyFont="1" applyFill="1" applyBorder="1" applyAlignment="1">
      <x:alignment vertical="top"/>
    </x:xf>
    <x:xf numFmtId="207" fontId="4" fillId="0" borderId="5" xfId="0" applyNumberFormat="1" applyFont="1" applyFill="1" applyBorder="1" applyAlignment="1">
      <x:alignment vertical="top"/>
    </x:xf>
    <x:xf numFmtId="207" fontId="4" fillId="0" borderId="6" xfId="0" applyNumberFormat="1" applyFont="1" applyFill="1" applyBorder="1" applyAlignment="1">
      <x:alignment vertical="top"/>
    </x:xf>
    <x:xf numFmtId="206" fontId="4" fillId="0" borderId="5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205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8" fontId="4" fillId="0" borderId="0" xfId="0" applyNumberFormat="1" applyFont="1" applyFill="1" applyBorder="1" applyAlignment="1">
      <x:alignment vertical="top"/>
    </x:xf>
    <x:xf numFmtId="206" fontId="4" fillId="0" borderId="0" xfId="0" applyNumberFormat="1" applyFont="1" applyFill="1" applyBorder="1" applyAlignment="1">
      <x:alignment vertical="top"/>
    </x:xf>
    <x:xf numFmtId="208" fontId="4" fillId="0" borderId="4" xfId="0" applyNumberFormat="1" applyFont="1" applyFill="1" applyBorder="1" applyAlignment="1">
      <x:alignment vertical="top"/>
    </x:xf>
    <x:xf numFmtId="208" fontId="4" fillId="0" borderId="5" xfId="0" applyNumberFormat="1" applyFont="1" applyFill="1" applyBorder="1" applyAlignment="1">
      <x:alignment vertical="top"/>
    </x:xf>
    <x:xf numFmtId="208" fontId="4" fillId="0" borderId="6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2" fillId="6" borderId="7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vertical="top" wrapText="1"/>
    </x:xf>
    <x:xf numFmtId="0" fontId="2" fillId="6" borderId="8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0" fontId="5" fillId="6" borderId="5" xfId="0" applyNumberFormat="1" applyFont="1" applyFill="1" applyBorder="1" applyAlignment="1">
      <x:alignment horizontal="center" vertical="top" wrapText="1"/>
    </x:xf>
    <x:xf numFmtId="0" fontId="5" fillId="7" borderId="6" xfId="0" applyNumberFormat="1" applyFont="1" applyFill="1" applyBorder="1" applyAlignment="1">
      <x:alignment horizontal="center" vertical="top" wrapText="1"/>
    </x:xf>
    <x:xf numFmtId="0" fontId="2" fillId="5" borderId="7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2" fillId="5" borderId="8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0" fontId="2" fillId="7" borderId="7" xfId="0" applyNumberFormat="1" applyFont="1" applyFill="1" applyBorder="1" applyAlignment="1">
      <x:alignment vertical="top" wrapText="1"/>
    </x:xf>
    <x:xf numFmtId="0" fontId="2" fillId="7" borderId="5" xfId="0" applyNumberFormat="1" applyFont="1" applyFill="1" applyBorder="1" applyAlignment="1">
      <x:alignment vertical="top" wrapText="1"/>
    </x:xf>
    <x:xf numFmtId="0" fontId="2" fillId="7" borderId="8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top" wrapText="1"/>
    </x:xf>
    <x:xf numFmtId="204" fontId="4" fillId="0" borderId="4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4" fontId="4" fillId="0" borderId="5" xfId="0" applyNumberFormat="1" applyFont="1" applyFill="1" applyBorder="1" applyAlignment="1">
      <x:alignment vertical="top" wrapText="1"/>
    </x:xf>
    <x:xf numFmtId="203" fontId="4" fillId="0" borderId="6" xfId="0" applyNumberFormat="1" applyFont="1" applyFill="1" applyBorder="1" applyAlignment="1">
      <x:alignment vertical="top" wrapText="1"/>
    </x:xf>
    <x:xf numFmtId="204" fontId="4" fillId="0" borderId="6" xfId="0" applyNumberFormat="1" applyFont="1" applyFill="1" applyBorder="1" applyAlignment="1">
      <x:alignment vertical="top" wrapText="1"/>
    </x:xf>
    <x:xf numFmtId="205" fontId="4" fillId="0" borderId="4" xfId="0" applyNumberFormat="1" applyFont="1" applyFill="1" applyBorder="1" applyAlignment="1">
      <x:alignment vertical="top" wrapText="1"/>
    </x:xf>
    <x:xf numFmtId="205" fontId="4" fillId="0" borderId="5" xfId="0" applyNumberFormat="1" applyFont="1" applyFill="1" applyBorder="1" applyAlignment="1">
      <x:alignment vertical="top" wrapText="1"/>
    </x:xf>
    <x:xf numFmtId="205" fontId="4" fillId="0" borderId="6" xfId="0" applyNumberFormat="1" applyFont="1" applyFill="1" applyBorder="1" applyAlignment="1">
      <x:alignment vertical="top" wrapText="1"/>
    </x:xf>
    <x:xf numFmtId="206" fontId="4" fillId="0" borderId="4" xfId="0" applyNumberFormat="1" applyFont="1" applyFill="1" applyBorder="1" applyAlignment="1">
      <x:alignment vertical="top" wrapText="1"/>
    </x:xf>
    <x:xf numFmtId="206" fontId="4" fillId="0" borderId="6" xfId="0" applyNumberFormat="1" applyFont="1" applyFill="1" applyBorder="1" applyAlignment="1">
      <x:alignment vertical="top" wrapText="1"/>
    </x:xf>
    <x:xf numFmtId="207" fontId="4" fillId="0" borderId="4" xfId="0" applyNumberFormat="1" applyFont="1" applyFill="1" applyBorder="1" applyAlignment="1">
      <x:alignment vertical="top" wrapText="1"/>
    </x:xf>
    <x:xf numFmtId="207" fontId="4" fillId="0" borderId="5" xfId="0" applyNumberFormat="1" applyFont="1" applyFill="1" applyBorder="1" applyAlignment="1">
      <x:alignment vertical="top" wrapText="1"/>
    </x:xf>
    <x:xf numFmtId="207" fontId="4" fillId="0" borderId="6" xfId="0" applyNumberFormat="1" applyFont="1" applyFill="1" applyBorder="1" applyAlignment="1">
      <x:alignment vertical="top" wrapText="1"/>
    </x:xf>
    <x:xf numFmtId="206" fontId="4" fillId="0" borderId="5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5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8" fontId="4" fillId="0" borderId="0" xfId="0" applyNumberFormat="1" applyFont="1" applyFill="1" applyBorder="1" applyAlignment="1">
      <x:alignment vertical="top" wrapText="1"/>
    </x:xf>
    <x:xf numFmtId="206" fontId="4" fillId="0" borderId="0" xfId="0" applyNumberFormat="1" applyFont="1" applyFill="1" applyBorder="1" applyAlignment="1">
      <x:alignment vertical="top" wrapText="1"/>
    </x:xf>
    <x:xf numFmtId="208" fontId="4" fillId="0" borderId="4" xfId="0" applyNumberFormat="1" applyFont="1" applyFill="1" applyBorder="1" applyAlignment="1">
      <x:alignment vertical="top" wrapText="1"/>
    </x:xf>
    <x:xf numFmtId="208" fontId="4" fillId="0" borderId="5" xfId="0" applyNumberFormat="1" applyFont="1" applyFill="1" applyBorder="1" applyAlignment="1">
      <x:alignment vertical="top" wrapText="1"/>
    </x:xf>
    <x:xf numFmtId="208" fontId="4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F855A"/>
      </x:font>
      <x:fill>
        <x:patternFill patternType="solid">
          <x:bgColor rgb="FFE8F5EC"/>
        </x:patternFill>
      </x:fill>
    </x:dxf>
    <x:dxf>
      <x:font>
        <x:b/>
        <x:color rgb="FFC53030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3850860b6416d" /><Relationship Type="http://schemas.openxmlformats.org/officeDocument/2006/relationships/theme" Target="/xl/theme/theme1.xml" Id="Ra26e5e134862473b" /><Relationship Type="http://schemas.openxmlformats.org/officeDocument/2006/relationships/sharedStrings" Target="/xl/sharedStrings.xml" Id="Rc712d7776f1640e0" /><Relationship Type="http://schemas.openxmlformats.org/officeDocument/2006/relationships/worksheet" Target="/xl/worksheets/sheet1.xml" Id="Rad98ce5d4cb1402a" /><Relationship Type="http://schemas.openxmlformats.org/officeDocument/2006/relationships/worksheet" Target="/xl/worksheets/sheet2.xml" Id="Rea543e963bb347fe" /><Relationship Type="http://schemas.openxmlformats.org/officeDocument/2006/relationships/worksheet" Target="/xl/worksheets/sheet3.xml" Id="Ra256453a52ef4aad" /><Relationship Type="http://schemas.openxmlformats.org/officeDocument/2006/relationships/worksheet" Target="/xl/worksheets/sheet4.xml" Id="R9c723fcc878446bd" /><Relationship Type="http://schemas.openxmlformats.org/officeDocument/2006/relationships/worksheet" Target="/xl/worksheets/sheet5.xml" Id="R0e5a9abfe15c44ac" /><Relationship Type="http://schemas.openxmlformats.org/officeDocument/2006/relationships/worksheet" Target="/xl/worksheets/sheet6.xml" Id="R0998364ead544655" /><Relationship Type="http://schemas.openxmlformats.org/officeDocument/2006/relationships/worksheet" Target="/xl/worksheets/sheet7.xml" Id="R7cdb666135354666" /><Relationship Type="http://schemas.openxmlformats.org/officeDocument/2006/relationships/worksheet" Target="/xl/worksheets/sheet8.xml" Id="Rc30023be29f2463c" /><Relationship Type="http://schemas.openxmlformats.org/officeDocument/2006/relationships/worksheet" Target="/xl/worksheets/sheet9.xml" Id="Rfd41183d52c649fb" /><Relationship Type="http://schemas.openxmlformats.org/officeDocument/2006/relationships/worksheet" Target="/xl/worksheets/sheet10.xml" Id="R023616c346cb4425" /><Relationship Type="http://schemas.openxmlformats.org/officeDocument/2006/relationships/worksheet" Target="/xl/worksheets/sheet11.xml" Id="R625dc717f23141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f2ec42b9d44913" /><Relationship Type="http://schemas.openxmlformats.org/officeDocument/2006/relationships/chart" Target="/xl/drawings/charts/chart2.xml" Id="Raafcf12c0e0445a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2f83a97d4b54c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A: always wrong</a:t>
            </a:r>
          </a:p>
        </c:rich>
      </c:tx>
    </c:title>
    <c:plotArea>
      <c:lineChart>
        <c:grouping val="standard"/>
        <c:ser>
          <c:idx val="0"/>
          <c:order val="0"/>
          <c:tx>
            <c:v>Mean</c:v>
          </c:tx>
          <c:marker>
            <c:symbol val="none"/>
          </c:marker>
          <c:cat>
            <c:strRef>
              <c:f>'H1 Repeated Errors'!$A$11:$A$14</c:f>
              <c:strCache>
                <c:ptCount val="0"/>
              </c:strCache>
            </c:strRef>
          </c:cat>
          <c:val>
            <c:numRef>
              <c:f>'H1 Repeated Errors'!$B$11:$B$14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7"/>
          <c:min val="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B: inconsistent</a:t>
            </a:r>
          </a:p>
        </c:rich>
      </c:tx>
    </c:title>
    <c:plotArea>
      <c:lineChart>
        <c:grouping val="standard"/>
        <c:ser>
          <c:idx val="0"/>
          <c:order val="0"/>
          <c:tx>
            <c:v>Mean</c:v>
          </c:tx>
          <c:marker>
            <c:symbol val="none"/>
          </c:marker>
          <c:cat>
            <c:strRef>
              <c:f>'H1 Repeated Errors'!$D$11:$D$13</c:f>
              <c:strCache>
                <c:ptCount val="0"/>
              </c:strCache>
            </c:strRef>
          </c:cat>
          <c:val>
            <c:numRef>
              <c:f>'H1 Repeated Errors'!$E$11:$E$13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7"/>
          <c:min val="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Composite frustration by intended action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Composite mean</c:v>
          </c:tx>
          <c:spPr>
            <a:solidFill xmlns:a="http://schemas.openxmlformats.org/drawingml/2006/main">
              <a:srgbClr val="2B6CB0"/>
            </a:solidFill>
          </c:spPr>
          <c:cat>
            <c:strRef>
              <c:f>'H4 Behavior'!$A$15:$A$19</c:f>
              <c:strCache>
                <c:ptCount val="0"/>
              </c:strCache>
            </c:strRef>
          </c:cat>
          <c:val>
            <c:numRef>
              <c:f>'H4 Behavior'!$C$15:$C$19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7"/>
          <c:min val="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9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f2ec42b9d44913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fcf12c0e0445a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f83a97d4b54c3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780603dba3b244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c30951a8fa8140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5" hidden="0" customWidth="1"/>
    <x:col min="3" max="3" width="88" hidden="0" customWidth="1"/>
    <x:col min="4" max="4" width="58" hidden="0" customWidth="1"/>
  </x:cols>
  <x:sheetData>
    <x:row r="1" ht="32" customHeight="1">
      <x:c r="A1" s="120" t="str">
        <x:v>AI Frustration Research - Independent Statistical Audit</x:v>
      </x:c>
      <x:c r="B1" s="120"/>
      <x:c r="C1" s="120"/>
      <x:c r="D1" s="120"/>
      <x:c r="E1" s="120"/>
      <x:c r="F1" s="120"/>
      <x:c r="G1" s="120"/>
      <x:c r="H1" s="120"/>
      <x:c r="I1" s="120"/>
      <x:c r="J1" s="120"/>
    </x:row>
    <x:row r="2" ht="30" customHeight="1">
      <x:c r="A2" s="111" t="str">
        <x:v>Evidence reconciliation, re-estimated models, design critique, and revision guidance. Audit completed 2026-07-21.</x:v>
      </x:c>
      <x:c r="B2" s="111"/>
      <x:c r="C2" s="111"/>
      <x:c r="D2" s="111"/>
      <x:c r="E2" s="111"/>
      <x:c r="F2" s="111"/>
      <x:c r="G2" s="111"/>
      <x:c r="H2" s="111"/>
      <x:c r="I2" s="111"/>
      <x:c r="J2" s="111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</x:row>
    <x:row r="4" ht="22" customHeight="1">
      <x:c r="A4" s="122" t="str">
        <x:v>Executive verdict</x:v>
      </x:c>
      <x:c r="B4" s="122"/>
      <x:c r="C4" s="122"/>
      <x:c r="D4" s="122"/>
      <x:c r="E4" s="122"/>
      <x:c r="F4" s="122"/>
      <x:c r="G4" s="122"/>
      <x:c r="H4" s="122"/>
      <x:c r="I4" s="122"/>
      <x:c r="J4" s="122"/>
    </x:row>
    <x:row r="5">
      <x:c r="A5" s="114" t="str">
        <x:v>Area</x:v>
      </x:c>
      <x:c r="B5" s="115" t="str">
        <x:v>Verdict</x:v>
      </x:c>
      <x:c r="C5" s="115" t="str">
        <x:v>What the evidence supports</x:v>
      </x:c>
      <x:c r="D5" s="116" t="str">
        <x:v>Required paper change</x:v>
      </x:c>
      <x:c r="E5" s="121"/>
      <x:c r="F5" s="121"/>
      <x:c r="G5" s="121"/>
      <x:c r="H5" s="121"/>
      <x:c r="I5" s="121"/>
      <x:c r="J5" s="121"/>
    </x:row>
    <x:row r="6">
      <x:c r="A6" s="107" t="str">
        <x:v>Descriptive claims</x:v>
      </x:c>
      <x:c r="B6" s="123" t="str">
        <x:v>VERIFIED</x:v>
      </x:c>
      <x:c r="C6" s="107" t="str">
        <x:v>All reported means, SDs, counts, and alpha reproduce after exact-content deduplication.</x:v>
      </x:c>
      <x:c r="D6" s="107" t="str">
        <x:v>Describe the retained records as 181 unique content patterns, not proven unique people.</x:v>
      </x:c>
      <x:c r="E6" s="121"/>
      <x:c r="F6" s="121"/>
      <x:c r="G6" s="121"/>
      <x:c r="H6" s="121"/>
      <x:c r="I6" s="121"/>
      <x:c r="J6" s="121"/>
    </x:row>
    <x:row r="7">
      <x:c r="A7" s="108" t="str">
        <x:v>H1</x:v>
      </x:c>
      <x:c r="B7" s="124" t="str">
        <x:v>SUPPORTED</x:v>
      </x:c>
      <x:c r="C7" s="108" t="str">
        <x:v>Frustration ratings rise strongly across both hypothetical error sequences.</x:v>
      </x:c>
      <x:c r="D7" s="108" t="str">
        <x:v>Report Friedman tests, Kendall's W, and Holm-adjusted Wilcoxon contrasts; avoid causal language.</x:v>
      </x:c>
      <x:c r="E7" s="121"/>
      <x:c r="F7" s="121"/>
      <x:c r="G7" s="121"/>
      <x:c r="H7" s="121"/>
      <x:c r="I7" s="121"/>
      <x:c r="J7" s="121"/>
    </x:row>
    <x:row r="8">
      <x:c r="A8" s="108" t="str">
        <x:v>H2</x:v>
      </x:c>
      <x:c r="B8" s="125" t="str">
        <x:v>MIXED</x:v>
      </x:c>
      <x:c r="C8" s="108" t="str">
        <x:v>Forced-choice responses favor inconsistent errors, but paired final ratings slightly favor always-wrong errors.</x:v>
      </x:c>
      <x:c r="D8" s="108" t="str">
        <x:v>State that the operationalizations disagree and the scenarios confound timing, consistency, and error rate.</x:v>
      </x:c>
      <x:c r="E8" s="121"/>
      <x:c r="F8" s="121"/>
      <x:c r="G8" s="121"/>
      <x:c r="H8" s="121"/>
      <x:c r="I8" s="121"/>
      <x:c r="J8" s="121"/>
    </x:row>
    <x:row r="9">
      <x:c r="A9" s="108" t="str">
        <x:v>H3</x:v>
      </x:c>
      <x:c r="B9" s="125" t="str">
        <x:v>PARTIAL</x:v>
      </x:c>
      <x:c r="C9" s="108" t="str">
        <x:v>Scenario frustration predicts any reported attention change, but not a specifically more-careful direction.</x:v>
      </x:c>
      <x:c r="D9" s="108" t="str">
        <x:v>Replace 'verification shift' as a finding with a cautious hypothesis or reported response pattern.</x:v>
      </x:c>
      <x:c r="E9" s="121"/>
      <x:c r="F9" s="121"/>
      <x:c r="G9" s="121"/>
      <x:c r="H9" s="121"/>
      <x:c r="I9" s="121"/>
      <x:c r="J9" s="121"/>
    </x:row>
    <x:row r="10">
      <x:c r="A10" s="109" t="str">
        <x:v>H4</x:v>
      </x:c>
      <x:c r="B10" s="126" t="str">
        <x:v>NOT SUPPORTED</x:v>
      </x:c>
      <x:c r="C10" s="109" t="str">
        <x:v>No tested frustration measure predicts the grouped switch-away outcome.</x:v>
      </x:c>
      <x:c r="D10" s="109" t="str">
        <x:v>Separate external search, tool switching, and abandonment; do not claim H4 support.</x:v>
      </x:c>
      <x:c r="E10" s="121"/>
      <x:c r="F10" s="121"/>
      <x:c r="G10" s="121"/>
      <x:c r="H10" s="121"/>
      <x:c r="I10" s="121"/>
      <x:c r="J10" s="121"/>
    </x:row>
    <x:row r="11">
      <x:c r="A11" s="121"/>
      <x:c r="B11" s="121"/>
      <x:c r="C11" s="121"/>
      <x:c r="D11" s="121"/>
      <x:c r="E11" s="121"/>
      <x:c r="F11" s="121"/>
      <x:c r="G11" s="121"/>
      <x:c r="H11" s="121"/>
      <x:c r="I11" s="121"/>
      <x:c r="J11" s="121"/>
    </x:row>
    <x:row r="12" ht="22" customHeight="1">
      <x:c r="A12" s="122" t="str">
        <x:v>Audit scope and provenance</x:v>
      </x:c>
      <x:c r="B12" s="122"/>
      <x:c r="C12" s="122"/>
      <x:c r="D12" s="122"/>
      <x:c r="E12" s="122"/>
      <x:c r="F12" s="122"/>
      <x:c r="G12" s="122"/>
      <x:c r="H12" s="122"/>
      <x:c r="I12" s="122"/>
      <x:c r="J12" s="122"/>
    </x:row>
    <x:row r="13">
      <x:c r="A13" s="114" t="str">
        <x:v>Source</x:v>
      </x:c>
      <x:c r="B13" s="115" t="str">
        <x:v>Audit use</x:v>
      </x:c>
      <x:c r="C13" s="116" t="str">
        <x:v>Finding</x:v>
      </x:c>
      <x:c r="D13" s="121"/>
      <x:c r="E13" s="121"/>
      <x:c r="F13" s="121"/>
      <x:c r="G13" s="121"/>
      <x:c r="H13" s="121"/>
      <x:c r="I13" s="121"/>
      <x:c r="J13" s="121"/>
    </x:row>
    <x:row r="14">
      <x:c r="A14" s="107" t="str">
        <x:v>ai_frustration_research_handoff_package(1).zip</x:v>
      </x:c>
      <x:c r="B14" s="107" t="str">
        <x:v>Study intent and prior assumptions</x:v>
      </x:c>
      <x:c r="C14" s="107" t="str">
        <x:v>Two handoff files; they warn that earlier figures were summary-based and that H3/H4 lacked inferential tests.</x:v>
      </x:c>
      <x:c r="D14" s="121"/>
      <x:c r="E14" s="121"/>
      <x:c r="F14" s="121"/>
      <x:c r="G14" s="121"/>
      <x:c r="H14" s="121"/>
      <x:c r="I14" s="121"/>
      <x:c r="J14" s="121"/>
    </x:row>
    <x:row r="15">
      <x:c r="A15" s="108" t="str">
        <x:v>AI Research Data.xlsx</x:v>
      </x:c>
      <x:c r="B15" s="108" t="str">
        <x:v>Raw responses and original analysis</x:v>
      </x:c>
      <x:c r="C15" s="108" t="str">
        <x:v>204 rows; original dashboard uses all raw rows. One Scenario A structured-reference formula renders #REF!, and Scenario B is shown as a pie chart.</x:v>
      </x:c>
      <x:c r="D15" s="121"/>
      <x:c r="E15" s="121"/>
      <x:c r="F15" s="121"/>
      <x:c r="G15" s="121"/>
      <x:c r="H15" s="121"/>
      <x:c r="I15" s="121"/>
      <x:c r="J15" s="121"/>
    </x:row>
    <x:row r="16">
      <x:c r="A16" s="108" t="str">
        <x:v>Human Patience and AI Frustration Research Paper (2).pdf</x:v>
      </x:c>
      <x:c r="B16" s="108" t="str">
        <x:v>Claims, methods, and conclusions</x:v>
      </x:c>
      <x:c r="C16" s="108" t="str">
        <x:v>23 pages; all numeric descriptives reconcile to the deduplicated dataset, while several interpretations require revision.</x:v>
      </x:c>
      <x:c r="D16" s="121"/>
      <x:c r="E16" s="121"/>
      <x:c r="F16" s="121"/>
      <x:c r="G16" s="121"/>
      <x:c r="H16" s="121"/>
      <x:c r="I16" s="121"/>
      <x:c r="J16" s="121"/>
    </x:row>
    <x:row r="17">
      <x:c r="A17" s="109" t="str">
        <x:v>Independent re-analysis</x:v>
      </x:c>
      <x:c r="B17" s="109" t="str">
        <x:v>Exact-content deduplication and statistical tests</x:v>
      </x:c>
      <x:c r="C17" s="109" t="str">
        <x:v>204 submissions -&gt; 181 retained content patterns; 23 later exact duplicates removed across 5 groups.</x:v>
      </x:c>
      <x:c r="D17" s="121"/>
      <x:c r="E17" s="121"/>
      <x:c r="F17" s="121"/>
      <x:c r="G17" s="121"/>
      <x:c r="H17" s="121"/>
      <x:c r="I17" s="121"/>
      <x:c r="J17" s="121"/>
    </x:row>
    <x:row r="18">
      <x:c r="A18" s="121"/>
      <x:c r="B18" s="121"/>
      <x:c r="C18" s="121"/>
      <x:c r="D18" s="121"/>
      <x:c r="E18" s="121"/>
      <x:c r="F18" s="121"/>
      <x:c r="G18" s="121"/>
      <x:c r="H18" s="121"/>
      <x:c r="I18" s="121"/>
      <x:c r="J18" s="121"/>
    </x:row>
    <x:row r="19">
      <x:c r="A19" s="121"/>
      <x:c r="B19" s="121"/>
      <x:c r="C19" s="121"/>
      <x:c r="D19" s="121"/>
      <x:c r="E19" s="121"/>
      <x:c r="F19" s="121"/>
      <x:c r="G19" s="121"/>
      <x:c r="H19" s="121"/>
      <x:c r="I19" s="121"/>
      <x:c r="J19" s="121"/>
    </x:row>
    <x:row r="20" ht="22" customHeight="1">
      <x:c r="A20" s="122" t="str">
        <x:v>Interpretation rules</x:v>
      </x:c>
      <x:c r="B20" s="122"/>
      <x:c r="C20" s="122"/>
      <x:c r="D20" s="122"/>
      <x:c r="E20" s="122"/>
      <x:c r="F20" s="122"/>
      <x:c r="G20" s="122"/>
      <x:c r="H20" s="122"/>
      <x:c r="I20" s="122"/>
      <x:c r="J20" s="122"/>
    </x:row>
    <x:row r="21">
      <x:c r="A21" s="114" t="str">
        <x:v>Confirmed fact</x:v>
      </x:c>
      <x:c r="B21" s="116" t="str">
        <x:v>A numerical or bibliographic claim reproduced from the supplied evidence or an authoritative source.</x:v>
      </x:c>
      <x:c r="C21" s="121"/>
      <x:c r="D21" s="121"/>
      <x:c r="E21" s="121"/>
      <x:c r="F21" s="121"/>
      <x:c r="G21" s="121"/>
      <x:c r="H21" s="121"/>
      <x:c r="I21" s="121"/>
      <x:c r="J21" s="121"/>
    </x:row>
    <x:row r="22">
      <x:c r="A22" s="107" t="str">
        <x:v>Statistical result</x:v>
      </x:c>
      <x:c r="B22" s="107" t="str">
        <x:v>A result independently recomputed from the 181 retained content patterns. It is not proof of causality.</x:v>
      </x:c>
      <x:c r="C22" s="121"/>
      <x:c r="D22" s="121"/>
      <x:c r="E22" s="121"/>
      <x:c r="F22" s="121"/>
      <x:c r="G22" s="121"/>
      <x:c r="H22" s="121"/>
      <x:c r="I22" s="121"/>
      <x:c r="J22" s="121"/>
    </x:row>
    <x:row r="23">
      <x:c r="A23" s="108" t="str">
        <x:v>Methodological judgment</x:v>
      </x:c>
      <x:c r="B23" s="108" t="str">
        <x:v>An interpretation based on research-reporting and measurement guidance; alternate defensible choices are disclosed.</x:v>
      </x:c>
      <x:c r="C23" s="121"/>
      <x:c r="D23" s="121"/>
      <x:c r="E23" s="121"/>
      <x:c r="F23" s="121"/>
      <x:c r="G23" s="121"/>
      <x:c r="H23" s="121"/>
      <x:c r="I23" s="121"/>
      <x:c r="J23" s="121"/>
    </x:row>
    <x:row r="24">
      <x:c r="A24" s="109" t="str">
        <x:v>Unverifiable from package</x:v>
      </x:c>
      <x:c r="B24" s="109" t="str">
        <x:v>Participant identity, actual unique-person status, response duration, consent/assent, recruitment denominator, preregistration, and real-world behavior.</x:v>
      </x:c>
      <x:c r="C24" s="121"/>
      <x:c r="D24" s="121"/>
      <x:c r="E24" s="121"/>
      <x:c r="F24" s="121"/>
      <x:c r="G24" s="121"/>
      <x:c r="H24" s="121"/>
      <x:c r="I24" s="121"/>
      <x:c r="J24" s="121"/>
    </x:row>
    <x:row r="25">
      <x:c r="A25" s="121"/>
      <x:c r="B25" s="121"/>
      <x:c r="C25" s="121"/>
      <x:c r="D25" s="121"/>
      <x:c r="E25" s="121"/>
      <x:c r="F25" s="121"/>
      <x:c r="G25" s="121"/>
      <x:c r="H25" s="121"/>
      <x:c r="I25" s="121"/>
      <x:c r="J25" s="121"/>
    </x:row>
    <x:row r="26">
      <x:c r="A26" s="121"/>
      <x:c r="B26" s="121"/>
      <x:c r="C26" s="121"/>
      <x:c r="D26" s="121"/>
      <x:c r="E26" s="121"/>
      <x:c r="F26" s="121"/>
      <x:c r="G26" s="121"/>
      <x:c r="H26" s="121"/>
      <x:c r="I26" s="121"/>
      <x:c r="J26" s="121"/>
    </x:row>
    <x:row r="27" ht="34" customHeight="1">
      <x:c r="A27" s="117" t="str">
        <x:v>Primary unit: survey submission. Exact-content deduplication verifies repeated answer patterns, not identities. The survey includes 24 retained Under-18 records; the manuscript should document the applicable consent/assent and ethics process before submission.</x:v>
      </x:c>
      <x:c r="B27" s="118"/>
      <x:c r="C27" s="118"/>
      <x:c r="D27" s="118"/>
      <x:c r="E27" s="118"/>
      <x:c r="F27" s="118"/>
      <x:c r="G27" s="118"/>
      <x:c r="H27" s="118"/>
      <x:c r="I27" s="118"/>
      <x:c r="J27" s="119"/>
    </x:row>
  </x:sheetData>
  <x:mergeCells>
    <x:mergeCell ref="A1:J1"/>
    <x:mergeCell ref="A2:J2"/>
    <x:mergeCell ref="A4:J4"/>
    <x:mergeCell ref="A12:J12"/>
    <x:mergeCell ref="A20:J20"/>
    <x:mergeCell ref="A27:J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32" hidden="0" customWidth="1"/>
  </x:cols>
  <x:sheetData>
    <x:row r="1" ht="32" customHeight="1">
      <x:c r="A1" s="120" t="str">
        <x:v>Claim-by-Claim Reconciliation</x:v>
      </x:c>
      <x:c r="B1" s="120"/>
      <x:c r="C1" s="120"/>
      <x:c r="D1" s="120"/>
      <x:c r="E1" s="120"/>
      <x:c r="F1" s="120"/>
      <x:c r="G1" s="120"/>
      <x:c r="H1" s="120"/>
    </x:row>
    <x:row r="2" ht="30" customHeight="1">
      <x:c r="A2" s="111" t="str">
        <x:v>Paper values are compared with independently audited values. Tolerance reflects the paper's displayed precision.</x:v>
      </x:c>
      <x:c r="B2" s="111"/>
      <x:c r="C2" s="111"/>
      <x:c r="D2" s="111"/>
      <x:c r="E2" s="111"/>
      <x:c r="F2" s="111"/>
      <x:c r="G2" s="111"/>
      <x:c r="H2" s="111"/>
    </x:row>
    <x:row r="3">
      <x:c r="A3" s="121"/>
      <x:c r="B3" s="121"/>
      <x:c r="C3" s="121"/>
      <x:c r="D3" s="121"/>
      <x:c r="E3" s="121"/>
      <x:c r="F3" s="121"/>
      <x:c r="G3" s="121"/>
      <x:c r="H3" s="121"/>
    </x:row>
    <x:row r="4">
      <x:c r="A4" s="114" t="str">
        <x:v>Claim</x:v>
      </x:c>
      <x:c r="B4" s="115" t="str">
        <x:v>Metric</x:v>
      </x:c>
      <x:c r="C4" s="115" t="str">
        <x:v>Paper</x:v>
      </x:c>
      <x:c r="D4" s="115" t="str">
        <x:v>Audited</x:v>
      </x:c>
      <x:c r="E4" s="115" t="str">
        <x:v>Difference</x:v>
      </x:c>
      <x:c r="F4" s="115" t="str">
        <x:v>Tolerance</x:v>
      </x:c>
      <x:c r="G4" s="115" t="str">
        <x:v>Formula status</x:v>
      </x:c>
      <x:c r="H4" s="116" t="str">
        <x:v>Source</x:v>
      </x:c>
    </x:row>
    <x:row r="5">
      <x:c r="A5" s="107" t="str">
        <x:v>Cleaned unique response patterns</x:v>
      </x:c>
      <x:c r="B5" s="107" t="str">
        <x:v>count</x:v>
      </x:c>
      <x:c r="C5" s="130" t="n">
        <x:v>181</x:v>
      </x:c>
      <x:c r="D5" s="130" t="n">
        <x:v>181</x:v>
      </x:c>
      <x:c r="E5" s="130" t="n">
        <x:f>D5-C5</x:f>
        <x:v>0</x:v>
      </x:c>
      <x:c r="F5" s="131" t="n">
        <x:v>0</x:v>
      </x:c>
      <x:c r="G5" s="107" t="str">
        <x:f>IF(ABS(E5)&lt;=F5,"MATCH","CHECK")</x:f>
        <x:v>MATCH</x:v>
      </x:c>
      <x:c r="H5" s="107" t="str">
        <x:v>PDF / deduplicated workbook</x:v>
      </x:c>
    </x:row>
    <x:row r="6">
      <x:c r="A6" s="108" t="str">
        <x:v>Multiple-times-a-day users</x:v>
      </x:c>
      <x:c r="B6" s="108" t="str">
        <x:v>count</x:v>
      </x:c>
      <x:c r="C6" s="132" t="n">
        <x:v>62</x:v>
      </x:c>
      <x:c r="D6" s="132" t="n">
        <x:v>62</x:v>
      </x:c>
      <x:c r="E6" s="132" t="n">
        <x:f>D6-C6</x:f>
        <x:v>0</x:v>
      </x:c>
      <x:c r="F6" s="133" t="n">
        <x:v>0</x:v>
      </x:c>
      <x:c r="G6" s="108" t="str">
        <x:f>IF(ABS(E6)&lt;=F6,"MATCH","CHECK")</x:f>
        <x:v>MATCH</x:v>
      </x:c>
      <x:c r="H6" s="108" t="str">
        <x:v>PDF / deduplicated workbook</x:v>
      </x:c>
    </x:row>
    <x:row r="7">
      <x:c r="A7" s="108" t="str">
        <x:v>Intermediate users</x:v>
      </x:c>
      <x:c r="B7" s="108" t="str">
        <x:v>count</x:v>
      </x:c>
      <x:c r="C7" s="132" t="n">
        <x:v>97</x:v>
      </x:c>
      <x:c r="D7" s="132" t="n">
        <x:v>97</x:v>
      </x:c>
      <x:c r="E7" s="132" t="n">
        <x:f>D7-C7</x:f>
        <x:v>0</x:v>
      </x:c>
      <x:c r="F7" s="133" t="n">
        <x:v>0</x:v>
      </x:c>
      <x:c r="G7" s="108" t="str">
        <x:f>IF(ABS(E7)&lt;=F7,"MATCH","CHECK")</x:f>
        <x:v>MATCH</x:v>
      </x:c>
      <x:c r="H7" s="108" t="str">
        <x:v>PDF / deduplicated workbook</x:v>
      </x:c>
    </x:row>
    <x:row r="8">
      <x:c r="A8" s="108" t="str">
        <x:v>Expected accuracy mean</x:v>
      </x:c>
      <x:c r="B8" s="108" t="str">
        <x:v>mean</x:v>
      </x:c>
      <x:c r="C8" s="132" t="n">
        <x:v>4.14</x:v>
      </x:c>
      <x:c r="D8" s="132" t="n">
        <x:v>4.143646408839779</x:v>
      </x:c>
      <x:c r="E8" s="132" t="n">
        <x:f>D8-C8</x:f>
        <x:v>0.0036464088397796246</x:v>
      </x:c>
      <x:c r="F8" s="133" t="n">
        <x:v>0.0051</x:v>
      </x:c>
      <x:c r="G8" s="108" t="str">
        <x:f>IF(ABS(E8)&lt;=F8,"MATCH","CHECK")</x:f>
        <x:v>MATCH</x:v>
      </x:c>
      <x:c r="H8" s="108" t="str">
        <x:v>PDF / deduplicated workbook</x:v>
      </x:c>
    </x:row>
    <x:row r="9">
      <x:c r="A9" s="108" t="str">
        <x:v>Expected accuracy SD</x:v>
      </x:c>
      <x:c r="B9" s="108" t="str">
        <x:v>sd</x:v>
      </x:c>
      <x:c r="C9" s="132" t="n">
        <x:v>1.56</x:v>
      </x:c>
      <x:c r="D9" s="132" t="n">
        <x:v>1.560386692404884</x:v>
      </x:c>
      <x:c r="E9" s="132" t="n">
        <x:f>D9-C9</x:f>
        <x:v>0.00038669240488387047</x:v>
      </x:c>
      <x:c r="F9" s="133" t="n">
        <x:v>0.0051</x:v>
      </x:c>
      <x:c r="G9" s="108" t="str">
        <x:f>IF(ABS(E9)&lt;=F9,"MATCH","CHECK")</x:f>
        <x:v>MATCH</x:v>
      </x:c>
      <x:c r="H9" s="108" t="str">
        <x:v>PDF / deduplicated workbook</x:v>
      </x:c>
    </x:row>
    <x:row r="10">
      <x:c r="A10" s="108" t="str">
        <x:v>Overall trust mean</x:v>
      </x:c>
      <x:c r="B10" s="108" t="str">
        <x:v>mean</x:v>
      </x:c>
      <x:c r="C10" s="132" t="n">
        <x:v>3.56</x:v>
      </x:c>
      <x:c r="D10" s="132" t="n">
        <x:v>3.5580110497237567</x:v>
      </x:c>
      <x:c r="E10" s="132" t="n">
        <x:f>D10-C10</x:f>
        <x:v>-0.001988950276243351</x:v>
      </x:c>
      <x:c r="F10" s="133" t="n">
        <x:v>0.0051</x:v>
      </x:c>
      <x:c r="G10" s="108" t="str">
        <x:f>IF(ABS(E10)&lt;=F10,"MATCH","CHECK")</x:f>
        <x:v>MATCH</x:v>
      </x:c>
      <x:c r="H10" s="108" t="str">
        <x:v>PDF / deduplicated workbook</x:v>
      </x:c>
    </x:row>
    <x:row r="11">
      <x:c r="A11" s="108" t="str">
        <x:v>Overall trust SD</x:v>
      </x:c>
      <x:c r="B11" s="108" t="str">
        <x:v>sd</x:v>
      </x:c>
      <x:c r="C11" s="132" t="n">
        <x:v>1.62</x:v>
      </x:c>
      <x:c r="D11" s="132" t="n">
        <x:v>1.6204266995967807</x:v>
      </x:c>
      <x:c r="E11" s="132" t="n">
        <x:f>D11-C11</x:f>
        <x:v>0.00042669959678054425</x:v>
      </x:c>
      <x:c r="F11" s="133" t="n">
        <x:v>0.0051</x:v>
      </x:c>
      <x:c r="G11" s="108" t="str">
        <x:f>IF(ABS(E11)&lt;=F11,"MATCH","CHECK")</x:f>
        <x:v>MATCH</x:v>
      </x:c>
      <x:c r="H11" s="108" t="str">
        <x:v>PDF / deduplicated workbook</x:v>
      </x:c>
    </x:row>
    <x:row r="12">
      <x:c r="A12" s="108" t="str">
        <x:v>Trust reduction mean</x:v>
      </x:c>
      <x:c r="B12" s="108" t="str">
        <x:v>mean</x:v>
      </x:c>
      <x:c r="C12" s="132" t="n">
        <x:v>4.5</x:v>
      </x:c>
      <x:c r="D12" s="132" t="n">
        <x:v>4.502762430939226</x:v>
      </x:c>
      <x:c r="E12" s="132" t="n">
        <x:f>D12-C12</x:f>
        <x:v>0.0027624309392262347</x:v>
      </x:c>
      <x:c r="F12" s="133" t="n">
        <x:v>0.0051</x:v>
      </x:c>
      <x:c r="G12" s="108" t="str">
        <x:f>IF(ABS(E12)&lt;=F12,"MATCH","CHECK")</x:f>
        <x:v>MATCH</x:v>
      </x:c>
      <x:c r="H12" s="108" t="str">
        <x:v>PDF / deduplicated workbook</x:v>
      </x:c>
    </x:row>
    <x:row r="13">
      <x:c r="A13" s="108" t="str">
        <x:v>Trust reduction SD</x:v>
      </x:c>
      <x:c r="B13" s="108" t="str">
        <x:v>sd</x:v>
      </x:c>
      <x:c r="C13" s="132" t="n">
        <x:v>1.77</x:v>
      </x:c>
      <x:c r="D13" s="132" t="n">
        <x:v>1.768942902766336</x:v>
      </x:c>
      <x:c r="E13" s="132" t="n">
        <x:f>D13-C13</x:f>
        <x:v>-0.001057097233664095</x:v>
      </x:c>
      <x:c r="F13" s="133" t="n">
        <x:v>0.0051</x:v>
      </x:c>
      <x:c r="G13" s="108" t="str">
        <x:f>IF(ABS(E13)&lt;=F13,"MATCH","CHECK")</x:f>
        <x:v>MATCH</x:v>
      </x:c>
      <x:c r="H13" s="108" t="str">
        <x:v>PDF / deduplicated workbook</x:v>
      </x:c>
    </x:row>
    <x:row r="14">
      <x:c r="A14" s="108" t="str">
        <x:v>Reliability mean</x:v>
      </x:c>
      <x:c r="B14" s="108" t="str">
        <x:v>mean</x:v>
      </x:c>
      <x:c r="C14" s="132" t="n">
        <x:v>3.39</x:v>
      </x:c>
      <x:c r="D14" s="132" t="n">
        <x:v>3.386740331491713</x:v>
      </x:c>
      <x:c r="E14" s="132" t="n">
        <x:f>D14-C14</x:f>
        <x:v>-0.0032596685082872945</x:v>
      </x:c>
      <x:c r="F14" s="133" t="n">
        <x:v>0.0051</x:v>
      </x:c>
      <x:c r="G14" s="108" t="str">
        <x:f>IF(ABS(E14)&lt;=F14,"MATCH","CHECK")</x:f>
        <x:v>MATCH</x:v>
      </x:c>
      <x:c r="H14" s="108" t="str">
        <x:v>PDF / deduplicated workbook</x:v>
      </x:c>
    </x:row>
    <x:row r="15">
      <x:c r="A15" s="108" t="str">
        <x:v>Reliability SD</x:v>
      </x:c>
      <x:c r="B15" s="108" t="str">
        <x:v>sd</x:v>
      </x:c>
      <x:c r="C15" s="132" t="n">
        <x:v>1.47</x:v>
      </x:c>
      <x:c r="D15" s="132" t="n">
        <x:v>1.4661517596066471</x:v>
      </x:c>
      <x:c r="E15" s="132" t="n">
        <x:f>D15-C15</x:f>
        <x:v>-0.003848240393352853</x:v>
      </x:c>
      <x:c r="F15" s="133" t="n">
        <x:v>0.0051</x:v>
      </x:c>
      <x:c r="G15" s="108" t="str">
        <x:f>IF(ABS(E15)&lt;=F15,"MATCH","CHECK")</x:f>
        <x:v>MATCH</x:v>
      </x:c>
      <x:c r="H15" s="108" t="str">
        <x:v>PDF / deduplicated workbook</x:v>
      </x:c>
    </x:row>
    <x:row r="16">
      <x:c r="A16" s="108" t="str">
        <x:v>Consistency mean</x:v>
      </x:c>
      <x:c r="B16" s="108" t="str">
        <x:v>mean</x:v>
      </x:c>
      <x:c r="C16" s="132" t="n">
        <x:v>4.06</x:v>
      </x:c>
      <x:c r="D16" s="132" t="n">
        <x:v>4.05524861878453</x:v>
      </x:c>
      <x:c r="E16" s="132" t="n">
        <x:f>D16-C16</x:f>
        <x:v>-0.004751381215469586</x:v>
      </x:c>
      <x:c r="F16" s="133" t="n">
        <x:v>0.0051</x:v>
      </x:c>
      <x:c r="G16" s="108" t="str">
        <x:f>IF(ABS(E16)&lt;=F16,"MATCH","CHECK")</x:f>
        <x:v>MATCH</x:v>
      </x:c>
      <x:c r="H16" s="108" t="str">
        <x:v>PDF / deduplicated workbook</x:v>
      </x:c>
    </x:row>
    <x:row r="17">
      <x:c r="A17" s="108" t="str">
        <x:v>Consistency SD</x:v>
      </x:c>
      <x:c r="B17" s="108" t="str">
        <x:v>sd</x:v>
      </x:c>
      <x:c r="C17" s="132" t="n">
        <x:v>1.34</x:v>
      </x:c>
      <x:c r="D17" s="132" t="n">
        <x:v>1.3446344274191628</x:v>
      </x:c>
      <x:c r="E17" s="132" t="n">
        <x:f>D17-C17</x:f>
        <x:v>0.004634427419162757</x:v>
      </x:c>
      <x:c r="F17" s="133" t="n">
        <x:v>0.0051</x:v>
      </x:c>
      <x:c r="G17" s="108" t="str">
        <x:f>IF(ABS(E17)&lt;=F17,"MATCH","CHECK")</x:f>
        <x:v>MATCH</x:v>
      </x:c>
      <x:c r="H17" s="108" t="str">
        <x:v>PDF / deduplicated workbook</x:v>
      </x:c>
    </x:row>
    <x:row r="18">
      <x:c r="A18" s="108" t="str">
        <x:v>Frustration composite mean</x:v>
      </x:c>
      <x:c r="B18" s="108" t="str">
        <x:v>mean</x:v>
      </x:c>
      <x:c r="C18" s="132" t="n">
        <x:v>4.65</x:v>
      </x:c>
      <x:c r="D18" s="132" t="n">
        <x:v>4.645303867403315</x:v>
      </x:c>
      <x:c r="E18" s="132" t="n">
        <x:f>D18-C18</x:f>
        <x:v>-0.004696132596685665</x:v>
      </x:c>
      <x:c r="F18" s="133" t="n">
        <x:v>0.0051</x:v>
      </x:c>
      <x:c r="G18" s="108" t="str">
        <x:f>IF(ABS(E18)&lt;=F18,"MATCH","CHECK")</x:f>
        <x:v>MATCH</x:v>
      </x:c>
      <x:c r="H18" s="108" t="str">
        <x:v>PDF / deduplicated workbook</x:v>
      </x:c>
    </x:row>
    <x:row r="19">
      <x:c r="A19" s="108" t="str">
        <x:v>Frustration composite SD</x:v>
      </x:c>
      <x:c r="B19" s="108" t="str">
        <x:v>sd</x:v>
      </x:c>
      <x:c r="C19" s="132" t="n">
        <x:v>1.19</x:v>
      </x:c>
      <x:c r="D19" s="132" t="n">
        <x:v>1.1876880161971382</x:v>
      </x:c>
      <x:c r="E19" s="132" t="n">
        <x:f>D19-C19</x:f>
        <x:v>-0.0023119838028617945</x:v>
      </x:c>
      <x:c r="F19" s="133" t="n">
        <x:v>0.0051</x:v>
      </x:c>
      <x:c r="G19" s="108" t="str">
        <x:f>IF(ABS(E19)&lt;=F19,"MATCH","CHECK")</x:f>
        <x:v>MATCH</x:v>
      </x:c>
      <x:c r="H19" s="108" t="str">
        <x:v>PDF / deduplicated workbook</x:v>
      </x:c>
    </x:row>
    <x:row r="20">
      <x:c r="A20" s="108" t="str">
        <x:v>Cronbach alpha</x:v>
      </x:c>
      <x:c r="B20" s="108" t="str">
        <x:v>alpha</x:v>
      </x:c>
      <x:c r="C20" s="132" t="n">
        <x:v>0.69</x:v>
      </x:c>
      <x:c r="D20" s="132" t="n">
        <x:v>0.694409871394055</x:v>
      </x:c>
      <x:c r="E20" s="132" t="n">
        <x:f>D20-C20</x:f>
        <x:v>0.0044098713940550205</x:v>
      </x:c>
      <x:c r="F20" s="133" t="n">
        <x:v>0.0051</x:v>
      </x:c>
      <x:c r="G20" s="108" t="str">
        <x:f>IF(ABS(E20)&lt;=F20,"MATCH","CHECK")</x:f>
        <x:v>MATCH</x:v>
      </x:c>
      <x:c r="H20" s="108" t="str">
        <x:v>PDF / deduplicated workbook</x:v>
      </x:c>
    </x:row>
    <x:row r="21">
      <x:c r="A21" s="108" t="str">
        <x:v>Scenario A after 1 mean</x:v>
      </x:c>
      <x:c r="B21" s="108" t="str">
        <x:v>mean</x:v>
      </x:c>
      <x:c r="C21" s="132" t="n">
        <x:v>2.93</x:v>
      </x:c>
      <x:c r="D21" s="132" t="n">
        <x:v>2.9337016574585637</x:v>
      </x:c>
      <x:c r="E21" s="132" t="n">
        <x:f>D21-C21</x:f>
        <x:v>0.0037016574585635453</x:v>
      </x:c>
      <x:c r="F21" s="133" t="n">
        <x:v>0.0051</x:v>
      </x:c>
      <x:c r="G21" s="108" t="str">
        <x:f>IF(ABS(E21)&lt;=F21,"MATCH","CHECK")</x:f>
        <x:v>MATCH</x:v>
      </x:c>
      <x:c r="H21" s="108" t="str">
        <x:v>PDF / deduplicated workbook</x:v>
      </x:c>
    </x:row>
    <x:row r="22">
      <x:c r="A22" s="108" t="str">
        <x:v>Scenario A after 3 mean</x:v>
      </x:c>
      <x:c r="B22" s="108" t="str">
        <x:v>mean</x:v>
      </x:c>
      <x:c r="C22" s="132" t="n">
        <x:v>4.36</x:v>
      </x:c>
      <x:c r="D22" s="132" t="n">
        <x:v>4.359116022099448</x:v>
      </x:c>
      <x:c r="E22" s="132" t="n">
        <x:f>D22-C22</x:f>
        <x:v>-0.0008839779005525017</x:v>
      </x:c>
      <x:c r="F22" s="133" t="n">
        <x:v>0.0051</x:v>
      </x:c>
      <x:c r="G22" s="108" t="str">
        <x:f>IF(ABS(E22)&lt;=F22,"MATCH","CHECK")</x:f>
        <x:v>MATCH</x:v>
      </x:c>
      <x:c r="H22" s="108" t="str">
        <x:v>PDF / deduplicated workbook</x:v>
      </x:c>
    </x:row>
    <x:row r="23">
      <x:c r="A23" s="108" t="str">
        <x:v>Scenario A after 5 mean</x:v>
      </x:c>
      <x:c r="B23" s="108" t="str">
        <x:v>mean</x:v>
      </x:c>
      <x:c r="C23" s="132" t="n">
        <x:v>5.26</x:v>
      </x:c>
      <x:c r="D23" s="132" t="n">
        <x:v>5.259668508287293</x:v>
      </x:c>
      <x:c r="E23" s="132" t="n">
        <x:f>D23-C23</x:f>
        <x:v>-0.0003314917127070771</x:v>
      </x:c>
      <x:c r="F23" s="133" t="n">
        <x:v>0.0051</x:v>
      </x:c>
      <x:c r="G23" s="108" t="str">
        <x:f>IF(ABS(E23)&lt;=F23,"MATCH","CHECK")</x:f>
        <x:v>MATCH</x:v>
      </x:c>
      <x:c r="H23" s="108" t="str">
        <x:v>PDF / deduplicated workbook</x:v>
      </x:c>
    </x:row>
    <x:row r="24">
      <x:c r="A24" s="108" t="str">
        <x:v>Scenario A after 8 mean</x:v>
      </x:c>
      <x:c r="B24" s="108" t="str">
        <x:v>mean</x:v>
      </x:c>
      <x:c r="C24" s="132" t="n">
        <x:v>5.77</x:v>
      </x:c>
      <x:c r="D24" s="132" t="n">
        <x:v>5.773480662983426</x:v>
      </x:c>
      <x:c r="E24" s="132" t="n">
        <x:f>D24-C24</x:f>
        <x:v>0.003480662983426086</x:v>
      </x:c>
      <x:c r="F24" s="133" t="n">
        <x:v>0.0051</x:v>
      </x:c>
      <x:c r="G24" s="108" t="str">
        <x:f>IF(ABS(E24)&lt;=F24,"MATCH","CHECK")</x:f>
        <x:v>MATCH</x:v>
      </x:c>
      <x:c r="H24" s="108" t="str">
        <x:v>PDF / deduplicated workbook</x:v>
      </x:c>
    </x:row>
    <x:row r="25">
      <x:c r="A25" s="108" t="str">
        <x:v>Scenario B early mean</x:v>
      </x:c>
      <x:c r="B25" s="108" t="str">
        <x:v>mean</x:v>
      </x:c>
      <x:c r="C25" s="132" t="n">
        <x:v>3.34</x:v>
      </x:c>
      <x:c r="D25" s="132" t="n">
        <x:v>3.342541436464088</x:v>
      </x:c>
      <x:c r="E25" s="132" t="n">
        <x:f>D25-C25</x:f>
        <x:v>0.0025414364640883313</x:v>
      </x:c>
      <x:c r="F25" s="133" t="n">
        <x:v>0.0051</x:v>
      </x:c>
      <x:c r="G25" s="108" t="str">
        <x:f>IF(ABS(E25)&lt;=F25,"MATCH","CHECK")</x:f>
        <x:v>MATCH</x:v>
      </x:c>
      <x:c r="H25" s="108" t="str">
        <x:v>PDF / deduplicated workbook</x:v>
      </x:c>
    </x:row>
    <x:row r="26">
      <x:c r="A26" s="108" t="str">
        <x:v>Scenario B halfway mean</x:v>
      </x:c>
      <x:c r="B26" s="108" t="str">
        <x:v>mean</x:v>
      </x:c>
      <x:c r="C26" s="132" t="n">
        <x:v>4.66</x:v>
      </x:c>
      <x:c r="D26" s="132" t="n">
        <x:v>4.662983425414365</x:v>
      </x:c>
      <x:c r="E26" s="132" t="n">
        <x:f>D26-C26</x:f>
        <x:v>0.002983425414364582</x:v>
      </x:c>
      <x:c r="F26" s="133" t="n">
        <x:v>0.0051</x:v>
      </x:c>
      <x:c r="G26" s="108" t="str">
        <x:f>IF(ABS(E26)&lt;=F26,"MATCH","CHECK")</x:f>
        <x:v>MATCH</x:v>
      </x:c>
      <x:c r="H26" s="108" t="str">
        <x:v>PDF / deduplicated workbook</x:v>
      </x:c>
    </x:row>
    <x:row r="27">
      <x:c r="A27" s="108" t="str">
        <x:v>Scenario B near-end mean</x:v>
      </x:c>
      <x:c r="B27" s="108" t="str">
        <x:v>mean</x:v>
      </x:c>
      <x:c r="C27" s="132" t="n">
        <x:v>5.59</x:v>
      </x:c>
      <x:c r="D27" s="132" t="n">
        <x:v>5.5911602209944755</x:v>
      </x:c>
      <x:c r="E27" s="132" t="n">
        <x:f>D27-C27</x:f>
        <x:v>0.001160220994475658</x:v>
      </x:c>
      <x:c r="F27" s="133" t="n">
        <x:v>0.0051</x:v>
      </x:c>
      <x:c r="G27" s="108" t="str">
        <x:f>IF(ABS(E27)&lt;=F27,"MATCH","CHECK")</x:f>
        <x:v>MATCH</x:v>
      </x:c>
      <x:c r="H27" s="108" t="str">
        <x:v>PDF / deduplicated workbook</x:v>
      </x:c>
    </x:row>
    <x:row r="28">
      <x:c r="A28" s="108" t="str">
        <x:v>Switch-away count</x:v>
      </x:c>
      <x:c r="B28" s="108" t="str">
        <x:v>count</x:v>
      </x:c>
      <x:c r="C28" s="132" t="n">
        <x:v>108</x:v>
      </x:c>
      <x:c r="D28" s="132" t="n">
        <x:v>108</x:v>
      </x:c>
      <x:c r="E28" s="132" t="n">
        <x:f>D28-C28</x:f>
        <x:v>0</x:v>
      </x:c>
      <x:c r="F28" s="133" t="n">
        <x:v>0</x:v>
      </x:c>
      <x:c r="G28" s="108" t="str">
        <x:f>IF(ABS(E28)&lt;=F28,"MATCH","CHECK")</x:f>
        <x:v>MATCH</x:v>
      </x:c>
      <x:c r="H28" s="108" t="str">
        <x:v>PDF / deduplicated workbook</x:v>
      </x:c>
    </x:row>
    <x:row r="29">
      <x:c r="A29" s="108" t="str">
        <x:v>Optional written responses</x:v>
      </x:c>
      <x:c r="B29" s="108" t="str">
        <x:v>count</x:v>
      </x:c>
      <x:c r="C29" s="132" t="n">
        <x:v>37</x:v>
      </x:c>
      <x:c r="D29" s="132" t="n">
        <x:v>37</x:v>
      </x:c>
      <x:c r="E29" s="132" t="n">
        <x:f>D29-C29</x:f>
        <x:v>0</x:v>
      </x:c>
      <x:c r="F29" s="133" t="n">
        <x:v>0</x:v>
      </x:c>
      <x:c r="G29" s="108" t="str">
        <x:f>IF(ABS(E29)&lt;=F29,"MATCH","CHECK")</x:f>
        <x:v>MATCH</x:v>
      </x:c>
      <x:c r="H29" s="108" t="str">
        <x:v>PDF / deduplicated workbook</x:v>
      </x:c>
    </x:row>
    <x:row r="30">
      <x:c r="A30" s="108" t="str">
        <x:v>Failure: both equally</x:v>
      </x:c>
      <x:c r="B30" s="108" t="str">
        <x:v>count</x:v>
      </x:c>
      <x:c r="C30" s="132" t="n">
        <x:v>75</x:v>
      </x:c>
      <x:c r="D30" s="132" t="n">
        <x:v>75</x:v>
      </x:c>
      <x:c r="E30" s="132" t="n">
        <x:f>D30-C30</x:f>
        <x:v>0</x:v>
      </x:c>
      <x:c r="F30" s="133" t="n">
        <x:v>0</x:v>
      </x:c>
      <x:c r="G30" s="108" t="str">
        <x:f>IF(ABS(E30)&lt;=F30,"MATCH","CHECK")</x:f>
        <x:v>MATCH</x:v>
      </x:c>
      <x:c r="H30" s="108" t="str">
        <x:v>PDF / deduplicated workbook</x:v>
      </x:c>
    </x:row>
    <x:row r="31">
      <x:c r="A31" s="108" t="str">
        <x:v>Failure: Scenario B</x:v>
      </x:c>
      <x:c r="B31" s="108" t="str">
        <x:v>count</x:v>
      </x:c>
      <x:c r="C31" s="132" t="n">
        <x:v>60</x:v>
      </x:c>
      <x:c r="D31" s="132" t="n">
        <x:v>60</x:v>
      </x:c>
      <x:c r="E31" s="132" t="n">
        <x:f>D31-C31</x:f>
        <x:v>0</x:v>
      </x:c>
      <x:c r="F31" s="133" t="n">
        <x:v>0</x:v>
      </x:c>
      <x:c r="G31" s="108" t="str">
        <x:f>IF(ABS(E31)&lt;=F31,"MATCH","CHECK")</x:f>
        <x:v>MATCH</x:v>
      </x:c>
      <x:c r="H31" s="108" t="str">
        <x:v>PDF / deduplicated workbook</x:v>
      </x:c>
    </x:row>
    <x:row r="32">
      <x:c r="A32" s="108" t="str">
        <x:v>Failure: Scenario A</x:v>
      </x:c>
      <x:c r="B32" s="108" t="str">
        <x:v>count</x:v>
      </x:c>
      <x:c r="C32" s="132" t="n">
        <x:v>35</x:v>
      </x:c>
      <x:c r="D32" s="132" t="n">
        <x:v>35</x:v>
      </x:c>
      <x:c r="E32" s="132" t="n">
        <x:f>D32-C32</x:f>
        <x:v>0</x:v>
      </x:c>
      <x:c r="F32" s="133" t="n">
        <x:v>0</x:v>
      </x:c>
      <x:c r="G32" s="108" t="str">
        <x:f>IF(ABS(E32)&lt;=F32,"MATCH","CHECK")</x:f>
        <x:v>MATCH</x:v>
      </x:c>
      <x:c r="H32" s="108" t="str">
        <x:v>PDF / deduplicated workbook</x:v>
      </x:c>
    </x:row>
    <x:row r="33">
      <x:c r="A33" s="108" t="str">
        <x:v>Failure: neither</x:v>
      </x:c>
      <x:c r="B33" s="108" t="str">
        <x:v>count</x:v>
      </x:c>
      <x:c r="C33" s="132" t="n">
        <x:v>11</x:v>
      </x:c>
      <x:c r="D33" s="132" t="n">
        <x:v>11</x:v>
      </x:c>
      <x:c r="E33" s="132" t="n">
        <x:f>D33-C33</x:f>
        <x:v>0</x:v>
      </x:c>
      <x:c r="F33" s="133" t="n">
        <x:v>0</x:v>
      </x:c>
      <x:c r="G33" s="108" t="str">
        <x:f>IF(ABS(E33)&lt;=F33,"MATCH","CHECK")</x:f>
        <x:v>MATCH</x:v>
      </x:c>
      <x:c r="H33" s="108" t="str">
        <x:v>PDF / deduplicated workbook</x:v>
      </x:c>
    </x:row>
    <x:row r="34">
      <x:c r="A34" s="108" t="str">
        <x:v>Attention: more carefully</x:v>
      </x:c>
      <x:c r="B34" s="108" t="str">
        <x:v>count</x:v>
      </x:c>
      <x:c r="C34" s="132" t="n">
        <x:v>106</x:v>
      </x:c>
      <x:c r="D34" s="132" t="n">
        <x:v>106</x:v>
      </x:c>
      <x:c r="E34" s="132" t="n">
        <x:f>D34-C34</x:f>
        <x:v>0</x:v>
      </x:c>
      <x:c r="F34" s="133" t="n">
        <x:v>0</x:v>
      </x:c>
      <x:c r="G34" s="108" t="str">
        <x:f>IF(ABS(E34)&lt;=F34,"MATCH","CHECK")</x:f>
        <x:v>MATCH</x:v>
      </x:c>
      <x:c r="H34" s="108" t="str">
        <x:v>PDF / deduplicated workbook</x:v>
      </x:c>
    </x:row>
    <x:row r="35">
      <x:c r="A35" s="108" t="str">
        <x:v>Attention: much less/skimming</x:v>
      </x:c>
      <x:c r="B35" s="108" t="str">
        <x:v>count</x:v>
      </x:c>
      <x:c r="C35" s="132" t="n">
        <x:v>29</x:v>
      </x:c>
      <x:c r="D35" s="132" t="n">
        <x:v>29</x:v>
      </x:c>
      <x:c r="E35" s="132" t="n">
        <x:f>D35-C35</x:f>
        <x:v>0</x:v>
      </x:c>
      <x:c r="F35" s="133" t="n">
        <x:v>0</x:v>
      </x:c>
      <x:c r="G35" s="108" t="str">
        <x:f>IF(ABS(E35)&lt;=F35,"MATCH","CHECK")</x:f>
        <x:v>MATCH</x:v>
      </x:c>
      <x:c r="H35" s="108" t="str">
        <x:v>PDF / deduplicated workbook</x:v>
      </x:c>
    </x:row>
    <x:row r="36">
      <x:c r="A36" s="108" t="str">
        <x:v>Attention: no change</x:v>
      </x:c>
      <x:c r="B36" s="108" t="str">
        <x:v>count</x:v>
      </x:c>
      <x:c r="C36" s="132" t="n">
        <x:v>27</x:v>
      </x:c>
      <x:c r="D36" s="132" t="n">
        <x:v>27</x:v>
      </x:c>
      <x:c r="E36" s="132" t="n">
        <x:f>D36-C36</x:f>
        <x:v>0</x:v>
      </x:c>
      <x:c r="F36" s="133" t="n">
        <x:v>0</x:v>
      </x:c>
      <x:c r="G36" s="108" t="str">
        <x:f>IF(ABS(E36)&lt;=F36,"MATCH","CHECK")</x:f>
        <x:v>MATCH</x:v>
      </x:c>
      <x:c r="H36" s="108" t="str">
        <x:v>PDF / deduplicated workbook</x:v>
      </x:c>
    </x:row>
    <x:row r="37">
      <x:c r="A37" s="108" t="str">
        <x:v>Attention: slightly less</x:v>
      </x:c>
      <x:c r="B37" s="108" t="str">
        <x:v>count</x:v>
      </x:c>
      <x:c r="C37" s="132" t="n">
        <x:v>19</x:v>
      </x:c>
      <x:c r="D37" s="132" t="n">
        <x:v>19</x:v>
      </x:c>
      <x:c r="E37" s="132" t="n">
        <x:f>D37-C37</x:f>
        <x:v>0</x:v>
      </x:c>
      <x:c r="F37" s="133" t="n">
        <x:v>0</x:v>
      </x:c>
      <x:c r="G37" s="108" t="str">
        <x:f>IF(ABS(E37)&lt;=F37,"MATCH","CHECK")</x:f>
        <x:v>MATCH</x:v>
      </x:c>
      <x:c r="H37" s="108" t="str">
        <x:v>PDF / deduplicated workbook</x:v>
      </x:c>
    </x:row>
    <x:row r="38">
      <x:c r="A38" s="108" t="str">
        <x:v>First action: Google/search</x:v>
      </x:c>
      <x:c r="B38" s="108" t="str">
        <x:v>count</x:v>
      </x:c>
      <x:c r="C38" s="132" t="n">
        <x:v>71</x:v>
      </x:c>
      <x:c r="D38" s="132" t="n">
        <x:v>71</x:v>
      </x:c>
      <x:c r="E38" s="132" t="n">
        <x:f>D38-C38</x:f>
        <x:v>0</x:v>
      </x:c>
      <x:c r="F38" s="133" t="n">
        <x:v>0</x:v>
      </x:c>
      <x:c r="G38" s="108" t="str">
        <x:f>IF(ABS(E38)&lt;=F38,"MATCH","CHECK")</x:f>
        <x:v>MATCH</x:v>
      </x:c>
      <x:c r="H38" s="108" t="str">
        <x:v>PDF / deduplicated workbook</x:v>
      </x:c>
    </x:row>
    <x:row r="39">
      <x:c r="A39" s="108" t="str">
        <x:v>First action: rephrase</x:v>
      </x:c>
      <x:c r="B39" s="108" t="str">
        <x:v>count</x:v>
      </x:c>
      <x:c r="C39" s="132" t="n">
        <x:v>69</x:v>
      </x:c>
      <x:c r="D39" s="132" t="n">
        <x:v>69</x:v>
      </x:c>
      <x:c r="E39" s="132" t="n">
        <x:f>D39-C39</x:f>
        <x:v>0</x:v>
      </x:c>
      <x:c r="F39" s="133" t="n">
        <x:v>0</x:v>
      </x:c>
      <x:c r="G39" s="108" t="str">
        <x:f>IF(ABS(E39)&lt;=F39,"MATCH","CHECK")</x:f>
        <x:v>MATCH</x:v>
      </x:c>
      <x:c r="H39" s="108" t="str">
        <x:v>PDF / deduplicated workbook</x:v>
      </x:c>
    </x:row>
    <x:row r="40">
      <x:c r="A40" s="108" t="str">
        <x:v>First action: switch AI</x:v>
      </x:c>
      <x:c r="B40" s="108" t="str">
        <x:v>count</x:v>
      </x:c>
      <x:c r="C40" s="132" t="n">
        <x:v>21</x:v>
      </x:c>
      <x:c r="D40" s="132" t="n">
        <x:v>21</x:v>
      </x:c>
      <x:c r="E40" s="132" t="n">
        <x:f>D40-C40</x:f>
        <x:v>0</x:v>
      </x:c>
      <x:c r="F40" s="133" t="n">
        <x:v>0</x:v>
      </x:c>
      <x:c r="G40" s="108" t="str">
        <x:f>IF(ABS(E40)&lt;=F40,"MATCH","CHECK")</x:f>
        <x:v>MATCH</x:v>
      </x:c>
      <x:c r="H40" s="108" t="str">
        <x:v>PDF / deduplicated workbook</x:v>
      </x:c>
    </x:row>
    <x:row r="41">
      <x:c r="A41" s="108" t="str">
        <x:v>First action: give up</x:v>
      </x:c>
      <x:c r="B41" s="108" t="str">
        <x:v>count</x:v>
      </x:c>
      <x:c r="C41" s="132" t="n">
        <x:v>16</x:v>
      </x:c>
      <x:c r="D41" s="132" t="n">
        <x:v>16</x:v>
      </x:c>
      <x:c r="E41" s="132" t="n">
        <x:f>D41-C41</x:f>
        <x:v>0</x:v>
      </x:c>
      <x:c r="F41" s="133" t="n">
        <x:v>0</x:v>
      </x:c>
      <x:c r="G41" s="108" t="str">
        <x:f>IF(ABS(E41)&lt;=F41,"MATCH","CHECK")</x:f>
        <x:v>MATCH</x:v>
      </x:c>
      <x:c r="H41" s="108" t="str">
        <x:v>PDF / deduplicated workbook</x:v>
      </x:c>
    </x:row>
    <x:row r="42">
      <x:c r="A42" s="108" t="str">
        <x:v>First action: retry</x:v>
      </x:c>
      <x:c r="B42" s="108" t="str">
        <x:v>count</x:v>
      </x:c>
      <x:c r="C42" s="132" t="n">
        <x:v>4</x:v>
      </x:c>
      <x:c r="D42" s="132" t="n">
        <x:v>4</x:v>
      </x:c>
      <x:c r="E42" s="132" t="n">
        <x:f>D42-C42</x:f>
        <x:v>0</x:v>
      </x:c>
      <x:c r="F42" s="133" t="n">
        <x:v>0</x:v>
      </x:c>
      <x:c r="G42" s="108" t="str">
        <x:f>IF(ABS(E42)&lt;=F42,"MATCH","CHECK")</x:f>
        <x:v>MATCH</x:v>
      </x:c>
      <x:c r="H42" s="108" t="str">
        <x:v>PDF / deduplicated workbook</x:v>
      </x:c>
    </x:row>
    <x:row r="43">
      <x:c r="A43" s="108" t="str">
        <x:v>Attention shift after 1 error</x:v>
      </x:c>
      <x:c r="B43" s="108" t="str">
        <x:v>count</x:v>
      </x:c>
      <x:c r="C43" s="132" t="n">
        <x:v>58</x:v>
      </x:c>
      <x:c r="D43" s="132" t="n">
        <x:v>58</x:v>
      </x:c>
      <x:c r="E43" s="132" t="n">
        <x:f>D43-C43</x:f>
        <x:v>0</x:v>
      </x:c>
      <x:c r="F43" s="133" t="n">
        <x:v>0</x:v>
      </x:c>
      <x:c r="G43" s="108" t="str">
        <x:f>IF(ABS(E43)&lt;=F43,"MATCH","CHECK")</x:f>
        <x:v>MATCH</x:v>
      </x:c>
      <x:c r="H43" s="108" t="str">
        <x:v>PDF / deduplicated workbook</x:v>
      </x:c>
    </x:row>
    <x:row r="44">
      <x:c r="A44" s="109" t="str">
        <x:v>Attention shift after 2-3 errors</x:v>
      </x:c>
      <x:c r="B44" s="109" t="str">
        <x:v>count</x:v>
      </x:c>
      <x:c r="C44" s="134" t="n">
        <x:v>61</x:v>
      </x:c>
      <x:c r="D44" s="134" t="n">
        <x:v>61</x:v>
      </x:c>
      <x:c r="E44" s="134" t="n">
        <x:f>D44-C44</x:f>
        <x:v>0</x:v>
      </x:c>
      <x:c r="F44" s="135" t="n">
        <x:v>0</x:v>
      </x:c>
      <x:c r="G44" s="109" t="str">
        <x:f>IF(ABS(E44)&lt;=F44,"MATCH","CHECK")</x:f>
        <x:v>MATCH</x:v>
      </x:c>
      <x:c r="H44" s="109" t="str">
        <x:v>PDF / deduplicated workbook</x:v>
      </x:c>
    </x:row>
    <x:row r="45">
      <x:c r="A45" s="121"/>
      <x:c r="B45" s="121"/>
      <x:c r="C45" s="121"/>
      <x:c r="D45" s="121"/>
      <x:c r="E45" s="121"/>
      <x:c r="F45" s="121"/>
      <x:c r="G45" s="121"/>
      <x:c r="H45" s="121"/>
    </x:row>
    <x:row r="46" ht="34" customHeight="1">
      <x:c r="A46" s="127" t="str">
        <x:v>Result: all displayed quantitative claims reproduce at the paper's stated rounding. Reproducible numbers do not, by themselves, validate the causal or conceptual interpretation.</x:v>
      </x:c>
      <x:c r="B46" s="128"/>
      <x:c r="C46" s="128"/>
      <x:c r="D46" s="128"/>
      <x:c r="E46" s="128"/>
      <x:c r="F46" s="128"/>
      <x:c r="G46" s="128"/>
      <x:c r="H46" s="129"/>
    </x:row>
  </x:sheetData>
  <x:mergeCells>
    <x:mergeCell ref="A1:H1"/>
    <x:mergeCell ref="A2:H2"/>
    <x:mergeCell ref="A46:H46"/>
  </x:mergeCells>
  <x:conditionalFormatting sqref="G5:G44">
    <x:cfRule type="containsText" dxfId="0" priority="1" operator="containsText" text="MATCH"/>
    <x:cfRule type="containsText" dxfId="1" priority="2" operator="containsText" text="CHEC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4" hidden="0" customWidth="1"/>
    <x:col min="3" max="3" width="58" hidden="0" customWidth="1"/>
    <x:col min="4" max="4" width="25" hidden="0" customWidth="1"/>
    <x:col min="5" max="5" width="18" hidden="0" customWidth="1"/>
    <x:col min="6" max="6" width="58" hidden="0" customWidth="1"/>
  </x:cols>
  <x:sheetData>
    <x:row r="1" ht="32" customHeight="1">
      <x:c r="A1" s="120" t="str">
        <x:v>Data Quality and Cleaning Audit</x:v>
      </x:c>
      <x:c r="B1" s="120"/>
      <x:c r="C1" s="120"/>
      <x:c r="D1" s="120"/>
      <x:c r="E1" s="120"/>
      <x:c r="F1" s="120"/>
      <x:c r="G1" s="120"/>
      <x:c r="H1" s="120"/>
      <x:c r="I1" s="120"/>
      <x:c r="J1" s="120"/>
    </x:row>
    <x:row r="2" ht="30" customHeight="1">
      <x:c r="A2" s="111" t="str">
        <x:v>The exact-content rule reproduces the paper's N=181, but the source lacks identifiers and paradata needed to verify unique people or inattentive responding.</x:v>
      </x:c>
      <x:c r="B2" s="111"/>
      <x:c r="C2" s="111"/>
      <x:c r="D2" s="111"/>
      <x:c r="E2" s="111"/>
      <x:c r="F2" s="111"/>
      <x:c r="G2" s="111"/>
      <x:c r="H2" s="111"/>
      <x:c r="I2" s="111"/>
      <x:c r="J2" s="111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</x:row>
    <x:row r="4" ht="22" customHeight="1">
      <x:c r="A4" s="122" t="str">
        <x:v>Cleaning summary</x:v>
      </x:c>
      <x:c r="B4" s="122"/>
      <x:c r="C4" s="122"/>
      <x:c r="D4" s="122"/>
      <x:c r="E4" s="122"/>
      <x:c r="F4" s="122"/>
      <x:c r="G4" s="122"/>
      <x:c r="H4" s="122"/>
      <x:c r="I4" s="122"/>
      <x:c r="J4" s="122"/>
    </x:row>
    <x:row r="5">
      <x:c r="A5" s="114" t="str">
        <x:v>Metric</x:v>
      </x:c>
      <x:c r="B5" s="115" t="str">
        <x:v>Value</x:v>
      </x:c>
      <x:c r="C5" s="116" t="str">
        <x:v>Audit interpretation</x:v>
      </x:c>
      <x:c r="D5" s="121"/>
      <x:c r="E5" s="121"/>
      <x:c r="F5" s="121"/>
      <x:c r="G5" s="121"/>
      <x:c r="H5" s="121"/>
      <x:c r="I5" s="121"/>
      <x:c r="J5" s="121"/>
    </x:row>
    <x:row r="6">
      <x:c r="A6" s="107" t="str">
        <x:v>Raw submissions</x:v>
      </x:c>
      <x:c r="B6" s="139" t="n">
        <x:v>204</x:v>
      </x:c>
      <x:c r="C6" s="107" t="str">
        <x:v>Rows in Form Responses</x:v>
      </x:c>
      <x:c r="D6" s="121"/>
      <x:c r="E6" s="121"/>
      <x:c r="F6" s="121"/>
      <x:c r="G6" s="121"/>
      <x:c r="H6" s="121"/>
      <x:c r="I6" s="121"/>
      <x:c r="J6" s="121"/>
    </x:row>
    <x:row r="7">
      <x:c r="A7" s="108" t="str">
        <x:v>Retained content patterns</x:v>
      </x:c>
      <x:c r="B7" s="140" t="n">
        <x:v>181</x:v>
      </x:c>
      <x:c r="C7" s="108" t="str">
        <x:v>First occurrence of each exact response pattern</x:v>
      </x:c>
      <x:c r="D7" s="121"/>
      <x:c r="E7" s="121"/>
      <x:c r="F7" s="121"/>
      <x:c r="G7" s="121"/>
      <x:c r="H7" s="121"/>
      <x:c r="I7" s="121"/>
      <x:c r="J7" s="121"/>
    </x:row>
    <x:row r="8">
      <x:c r="A8" s="108" t="str">
        <x:v>Later exact duplicates removed</x:v>
      </x:c>
      <x:c r="B8" s="140" t="n">
        <x:v>23</x:v>
      </x:c>
      <x:c r="C8" s="108" t="str">
        <x:v>23 submissions across 5 duplicate-content groups</x:v>
      </x:c>
      <x:c r="D8" s="121"/>
      <x:c r="E8" s="121"/>
      <x:c r="F8" s="121"/>
      <x:c r="G8" s="121"/>
      <x:c r="H8" s="121"/>
      <x:c r="I8" s="121"/>
      <x:c r="J8" s="121"/>
    </x:row>
    <x:row r="9">
      <x:c r="A9" s="108" t="str">
        <x:v>Core missing cells</x:v>
      </x:c>
      <x:c r="B9" s="140" t="n">
        <x:v>0</x:v>
      </x:c>
      <x:c r="C9" s="108" t="str">
        <x:v>No missing values in modeled 1-7 items</x:v>
      </x:c>
      <x:c r="D9" s="121"/>
      <x:c r="E9" s="121"/>
      <x:c r="F9" s="121"/>
      <x:c r="G9" s="121"/>
      <x:c r="H9" s="121"/>
      <x:c r="I9" s="121"/>
      <x:c r="J9" s="121"/>
    </x:row>
    <x:row r="10">
      <x:c r="A10" s="108" t="str">
        <x:v>Invalid 1-7 scale values</x:v>
      </x:c>
      <x:c r="B10" s="140" t="n">
        <x:v>0</x:v>
      </x:c>
      <x:c r="C10" s="108" t="str">
        <x:v>No out-of-range values</x:v>
      </x:c>
      <x:c r="D10" s="121"/>
      <x:c r="E10" s="121"/>
      <x:c r="F10" s="121"/>
      <x:c r="G10" s="121"/>
      <x:c r="H10" s="121"/>
      <x:c r="I10" s="121"/>
      <x:c r="J10" s="121"/>
    </x:row>
    <x:row r="11">
      <x:c r="A11" s="108" t="str">
        <x:v>Scenario straightliners (flag only)</x:v>
      </x:c>
      <x:c r="B11" s="140" t="n">
        <x:v>17</x:v>
      </x:c>
      <x:c r="C11" s="108" t="str">
        <x:v>Not excluded; no prespecified careless-response rule supplied</x:v>
      </x:c>
      <x:c r="D11" s="121"/>
      <x:c r="E11" s="121"/>
      <x:c r="F11" s="121"/>
      <x:c r="G11" s="121"/>
      <x:c r="H11" s="121"/>
      <x:c r="I11" s="121"/>
      <x:c r="J11" s="121"/>
    </x:row>
    <x:row r="12">
      <x:c r="A12" s="108" t="str">
        <x:v>Nonmonotonic Scenario A (flag only)</x:v>
      </x:c>
      <x:c r="B12" s="140" t="n">
        <x:v>9</x:v>
      </x:c>
      <x:c r="C12" s="108" t="str">
        <x:v>Not excluded; nonmonotonicity can be genuine</x:v>
      </x:c>
      <x:c r="D12" s="121"/>
      <x:c r="E12" s="121"/>
      <x:c r="F12" s="121"/>
      <x:c r="G12" s="121"/>
      <x:c r="H12" s="121"/>
      <x:c r="I12" s="121"/>
      <x:c r="J12" s="121"/>
    </x:row>
    <x:row r="13">
      <x:c r="A13" s="108" t="str">
        <x:v>Nonmonotonic Scenario B (flag only)</x:v>
      </x:c>
      <x:c r="B13" s="140" t="n">
        <x:v>2</x:v>
      </x:c>
      <x:c r="C13" s="108" t="str">
        <x:v>Not excluded</x:v>
      </x:c>
      <x:c r="D13" s="121"/>
      <x:c r="E13" s="121"/>
      <x:c r="F13" s="121"/>
      <x:c r="G13" s="121"/>
      <x:c r="H13" s="121"/>
      <x:c r="I13" s="121"/>
      <x:c r="J13" s="121"/>
    </x:row>
    <x:row r="14">
      <x:c r="A14" s="109" t="str">
        <x:v>Optional written responses</x:v>
      </x:c>
      <x:c r="B14" s="141" t="n">
        <x:v>37</x:v>
      </x:c>
      <x:c r="C14" s="109" t="str">
        <x:v>Qualitative comments are illustrative unless a transparent coding method is added</x:v>
      </x:c>
      <x:c r="D14" s="121"/>
      <x:c r="E14" s="121"/>
      <x:c r="F14" s="121"/>
      <x:c r="G14" s="121"/>
      <x:c r="H14" s="121"/>
      <x:c r="I14" s="121"/>
      <x:c r="J14" s="121"/>
    </x:row>
    <x:row r="15">
      <x:c r="A15" s="121"/>
      <x:c r="B15" s="121"/>
      <x:c r="C15" s="121"/>
      <x:c r="D15" s="121"/>
      <x:c r="E15" s="121"/>
      <x:c r="F15" s="121"/>
      <x:c r="G15" s="121"/>
      <x:c r="H15" s="121"/>
      <x:c r="I15" s="121"/>
      <x:c r="J15" s="121"/>
    </x:row>
    <x:row r="16">
      <x:c r="A16" s="121"/>
      <x:c r="B16" s="121"/>
      <x:c r="C16" s="121"/>
      <x:c r="D16" s="121"/>
      <x:c r="E16" s="121"/>
      <x:c r="F16" s="121"/>
      <x:c r="G16" s="121"/>
      <x:c r="H16" s="121"/>
      <x:c r="I16" s="121"/>
      <x:c r="J16" s="121"/>
    </x:row>
    <x:row r="17" ht="22" customHeight="1">
      <x:c r="A17" s="122" t="str">
        <x:v>Exact-duplicate groups</x:v>
      </x:c>
      <x:c r="B17" s="122"/>
      <x:c r="C17" s="122"/>
      <x:c r="D17" s="122"/>
      <x:c r="E17" s="122"/>
      <x:c r="F17" s="122"/>
      <x:c r="G17" s="122"/>
      <x:c r="H17" s="122"/>
      <x:c r="I17" s="122"/>
      <x:c r="J17" s="122"/>
    </x:row>
    <x:row r="18">
      <x:c r="A18" s="114" t="str">
        <x:v>Group</x:v>
      </x:c>
      <x:c r="B18" s="115" t="str">
        <x:v>Submissions</x:v>
      </x:c>
      <x:c r="C18" s="115" t="str">
        <x:v>First timestamp</x:v>
      </x:c>
      <x:c r="D18" s="115" t="str">
        <x:v>Last timestamp</x:v>
      </x:c>
      <x:c r="E18" s="115" t="str">
        <x:v>Span (minutes)</x:v>
      </x:c>
      <x:c r="F18" s="116" t="str">
        <x:v>Source Excel rows</x:v>
      </x:c>
      <x:c r="G18" s="121"/>
      <x:c r="H18" s="121"/>
      <x:c r="I18" s="121"/>
      <x:c r="J18" s="121"/>
    </x:row>
    <x:row r="19">
      <x:c r="A19" s="142" t="n">
        <x:v>1</x:v>
      </x:c>
      <x:c r="B19" s="142" t="n">
        <x:v>10</x:v>
      </x:c>
      <x:c r="C19" s="107" t="str">
        <x:v>2026-05-11T10:10:53.159000</x:v>
      </x:c>
      <x:c r="D19" s="107" t="str">
        <x:v>2026-05-29T15:37:35.325000</x:v>
      </x:c>
      <x:c r="E19" s="143" t="n">
        <x:v>26246.702766666665</x:v>
      </x:c>
      <x:c r="F19" s="107" t="str">
        <x:v>101, 178, 187, 188, 189, 190, 191, 192, 193, 194</x:v>
      </x:c>
      <x:c r="G19" s="121"/>
      <x:c r="H19" s="121"/>
      <x:c r="I19" s="121"/>
      <x:c r="J19" s="121"/>
    </x:row>
    <x:row r="20">
      <x:c r="A20" s="144" t="n">
        <x:v>2</x:v>
      </x:c>
      <x:c r="B20" s="144" t="n">
        <x:v>8</x:v>
      </x:c>
      <x:c r="C20" s="108" t="str">
        <x:v>2026-05-06T16:52:43.680000</x:v>
      </x:c>
      <x:c r="D20" s="108" t="str">
        <x:v>2026-05-06T16:52:45.923000</x:v>
      </x:c>
      <x:c r="E20" s="145" t="n">
        <x:v>0.03738333333333333</x:v>
      </x:c>
      <x:c r="F20" s="108" t="str">
        <x:v>60, 61, 62, 63, 64, 65, 66, 67</x:v>
      </x:c>
      <x:c r="G20" s="121"/>
      <x:c r="H20" s="121"/>
      <x:c r="I20" s="121"/>
      <x:c r="J20" s="121"/>
    </x:row>
    <x:row r="21">
      <x:c r="A21" s="144" t="n">
        <x:v>3</x:v>
      </x:c>
      <x:c r="B21" s="144" t="n">
        <x:v>4</x:v>
      </x:c>
      <x:c r="C21" s="108" t="str">
        <x:v>2026-05-29T15:41:15.661000</x:v>
      </x:c>
      <x:c r="D21" s="108" t="str">
        <x:v>2026-05-29T15:41:15.791000</x:v>
      </x:c>
      <x:c r="E21" s="145" t="n">
        <x:v>0.0021666666666666666</x:v>
      </x:c>
      <x:c r="F21" s="108" t="str">
        <x:v>195, 196, 197, 198</x:v>
      </x:c>
      <x:c r="G21" s="121"/>
      <x:c r="H21" s="121"/>
      <x:c r="I21" s="121"/>
      <x:c r="J21" s="121"/>
    </x:row>
    <x:row r="22">
      <x:c r="A22" s="144" t="n">
        <x:v>4</x:v>
      </x:c>
      <x:c r="B22" s="144" t="n">
        <x:v>4</x:v>
      </x:c>
      <x:c r="C22" s="108" t="str">
        <x:v>2026-05-06T16:57:54.617000</x:v>
      </x:c>
      <x:c r="D22" s="108" t="str">
        <x:v>2026-05-06T16:57:55.128000</x:v>
      </x:c>
      <x:c r="E22" s="145" t="n">
        <x:v>0.008516666666666667</x:v>
      </x:c>
      <x:c r="F22" s="108" t="str">
        <x:v>68, 69, 70, 71</x:v>
      </x:c>
      <x:c r="G22" s="121"/>
      <x:c r="H22" s="121"/>
      <x:c r="I22" s="121"/>
      <x:c r="J22" s="121"/>
    </x:row>
    <x:row r="23">
      <x:c r="A23" s="146" t="n">
        <x:v>5</x:v>
      </x:c>
      <x:c r="B23" s="146" t="n">
        <x:v>2</x:v>
      </x:c>
      <x:c r="C23" s="109" t="str">
        <x:v>2026-04-13T12:49:27.533000</x:v>
      </x:c>
      <x:c r="D23" s="109" t="str">
        <x:v>2026-04-15T12:17:23.790000</x:v>
      </x:c>
      <x:c r="E23" s="147" t="n">
        <x:v>2847.937616666667</x:v>
      </x:c>
      <x:c r="F23" s="109" t="str">
        <x:v>40, 45</x:v>
      </x:c>
      <x:c r="G23" s="121"/>
      <x:c r="H23" s="121"/>
      <x:c r="I23" s="121"/>
      <x:c r="J23" s="121"/>
    </x:row>
    <x:row r="24">
      <x:c r="A24" s="121"/>
      <x:c r="B24" s="121"/>
      <x:c r="C24" s="121"/>
      <x:c r="D24" s="121"/>
      <x:c r="E24" s="121"/>
      <x:c r="F24" s="121"/>
      <x:c r="G24" s="121"/>
      <x:c r="H24" s="121"/>
      <x:c r="I24" s="121"/>
      <x:c r="J24" s="121"/>
    </x:row>
    <x:row r="25">
      <x:c r="A25" s="121"/>
      <x:c r="B25" s="121"/>
      <x:c r="C25" s="121"/>
      <x:c r="D25" s="121"/>
      <x:c r="E25" s="121"/>
      <x:c r="F25" s="121"/>
      <x:c r="G25" s="121"/>
      <x:c r="H25" s="121"/>
      <x:c r="I25" s="121"/>
      <x:c r="J25" s="121"/>
    </x:row>
    <x:row r="26" ht="22" customHeight="1">
      <x:c r="A26" s="122" t="str">
        <x:v>Original workbook defects</x:v>
      </x:c>
      <x:c r="B26" s="122"/>
      <x:c r="C26" s="122"/>
      <x:c r="D26" s="122"/>
      <x:c r="E26" s="122"/>
      <x:c r="F26" s="122"/>
      <x:c r="G26" s="122"/>
      <x:c r="H26" s="122"/>
      <x:c r="I26" s="122"/>
      <x:c r="J26" s="122"/>
    </x:row>
    <x:row r="27">
      <x:c r="A27" s="114" t="str">
        <x:v>Issue</x:v>
      </x:c>
      <x:c r="B27" s="115" t="str">
        <x:v>Evidence</x:v>
      </x:c>
      <x:c r="C27" s="116" t="str">
        <x:v>Impact</x:v>
      </x:c>
      <x:c r="D27" s="121"/>
      <x:c r="E27" s="121"/>
      <x:c r="F27" s="121"/>
      <x:c r="G27" s="121"/>
      <x:c r="H27" s="121"/>
      <x:c r="I27" s="121"/>
      <x:c r="J27" s="121"/>
    </x:row>
    <x:row r="28">
      <x:c r="A28" s="107" t="str">
        <x:v>Raw rather than cleaned dashboard</x:v>
      </x:c>
      <x:c r="B28" s="107" t="str">
        <x:v>Original Data Analysis formulas reference all 204 Form Responses.</x:v>
      </x:c>
      <x:c r="C28" s="107" t="str">
        <x:v>Dashboard figures do not equal the paper's cleaned N=181 figures.</x:v>
      </x:c>
      <x:c r="D28" s="121"/>
      <x:c r="E28" s="121"/>
      <x:c r="F28" s="121"/>
      <x:c r="G28" s="121"/>
      <x:c r="H28" s="121"/>
      <x:c r="I28" s="121"/>
      <x:c r="J28" s="121"/>
    </x:row>
    <x:row r="29">
      <x:c r="A29" s="108" t="str">
        <x:v>Broken structured reference</x:v>
      </x:c>
      <x:c r="B29" s="108" t="str">
        <x:v>The Scenario A 'After three wrong answers' formula renders #REF!.</x:v>
      </x:c>
      <x:c r="C29" s="108" t="str">
        <x:v>The chart displays only three of four Scenario A checkpoints.</x:v>
      </x:c>
      <x:c r="D29" s="121"/>
      <x:c r="E29" s="121"/>
      <x:c r="F29" s="121"/>
      <x:c r="G29" s="121"/>
      <x:c r="H29" s="121"/>
      <x:c r="I29" s="121"/>
      <x:c r="J29" s="121"/>
    </x:row>
    <x:row r="30">
      <x:c r="A30" s="108" t="str">
        <x:v>Inappropriate pie chart</x:v>
      </x:c>
      <x:c r="B30" s="108" t="str">
        <x:v>Scenario B ordered means are shown as parts of a whole.</x:v>
      </x:c>
      <x:c r="C30" s="108" t="str">
        <x:v>A line chart is the defensible display for an ordered within-person trajectory.</x:v>
      </x:c>
      <x:c r="D30" s="121"/>
      <x:c r="E30" s="121"/>
      <x:c r="F30" s="121"/>
      <x:c r="G30" s="121"/>
      <x:c r="H30" s="121"/>
      <x:c r="I30" s="121"/>
      <x:c r="J30" s="121"/>
    </x:row>
    <x:row r="31">
      <x:c r="A31" s="109" t="str">
        <x:v>No frozen analysis dataset</x:v>
      </x:c>
      <x:c r="B31" s="109" t="str">
        <x:v>Package contains raw responses and summary formulas only.</x:v>
      </x:c>
      <x:c r="C31" s="109" t="str">
        <x:v>Reproducibility depends on reconstructing the exclusion rule.</x:v>
      </x:c>
      <x:c r="D31" s="121"/>
      <x:c r="E31" s="121"/>
      <x:c r="F31" s="121"/>
      <x:c r="G31" s="121"/>
      <x:c r="H31" s="121"/>
      <x:c r="I31" s="121"/>
      <x:c r="J31" s="121"/>
    </x:row>
    <x:row r="32">
      <x:c r="A32" s="121"/>
      <x:c r="B32" s="121"/>
      <x:c r="C32" s="121"/>
      <x:c r="D32" s="121"/>
      <x:c r="E32" s="121"/>
      <x:c r="F32" s="121"/>
      <x:c r="G32" s="121"/>
      <x:c r="H32" s="121"/>
      <x:c r="I32" s="121"/>
      <x:c r="J32" s="121"/>
    </x:row>
    <x:row r="33" ht="34" customHeight="1">
      <x:c r="A33" s="136" t="str">
        <x:v>Do not label the 181 records as 'verified unique participants.' Without respondent IDs, duration, IP/device metadata, or a documented recruitment log, unique-person status is untestable.</x:v>
      </x:c>
      <x:c r="B33" s="137"/>
      <x:c r="C33" s="137"/>
      <x:c r="D33" s="137"/>
      <x:c r="E33" s="137"/>
      <x:c r="F33" s="137"/>
      <x:c r="G33" s="137"/>
      <x:c r="H33" s="137"/>
      <x:c r="I33" s="137"/>
      <x:c r="J33" s="138"/>
    </x:row>
  </x:sheetData>
  <x:mergeCells>
    <x:mergeCell ref="A1:J1"/>
    <x:mergeCell ref="A2:J2"/>
    <x:mergeCell ref="A4:J4"/>
    <x:mergeCell ref="A17:J17"/>
    <x:mergeCell ref="A26:J26"/>
    <x:mergeCell ref="A33:J3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32" customHeight="1">
      <x:c r="A1" s="120" t="str">
        <x:v>Deduplicated Descriptive Statistics</x:v>
      </x:c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</x:row>
    <x:row r="2" ht="30" customHeight="1">
      <x:c r="A2" s="111" t="str">
        <x:v>N=181 exact-content patterns. Confidence intervals are 95% t intervals recomputed from N, mean, and SD in visible formulas.</x:v>
      </x:c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  <x:c r="K3" s="121"/>
    </x:row>
    <x:row r="4">
      <x:c r="A4" s="114" t="str">
        <x:v>Measure</x:v>
      </x:c>
      <x:c r="B4" s="115" t="str">
        <x:v>N</x:v>
      </x:c>
      <x:c r="C4" s="115" t="str">
        <x:v>Mean</x:v>
      </x:c>
      <x:c r="D4" s="115" t="str">
        <x:v>SD</x:v>
      </x:c>
      <x:c r="E4" s="115" t="str">
        <x:v>SE</x:v>
      </x:c>
      <x:c r="F4" s="115" t="str">
        <x:v>t critical</x:v>
      </x:c>
      <x:c r="G4" s="115" t="str">
        <x:v>95% CI low</x:v>
      </x:c>
      <x:c r="H4" s="115" t="str">
        <x:v>95% CI high</x:v>
      </x:c>
      <x:c r="I4" s="115" t="str">
        <x:v>Median</x:v>
      </x:c>
      <x:c r="J4" s="115" t="str">
        <x:v>Q1</x:v>
      </x:c>
      <x:c r="K4" s="116" t="str">
        <x:v>Q3</x:v>
      </x:c>
    </x:row>
    <x:row r="5">
      <x:c r="A5" s="107" t="str">
        <x:v>Expected accuracy</x:v>
      </x:c>
      <x:c r="B5" s="142" t="n">
        <x:v>181</x:v>
      </x:c>
      <x:c r="C5" s="130" t="n">
        <x:v>4.143646408839779</x:v>
      </x:c>
      <x:c r="D5" s="130" t="n">
        <x:v>1.560386692404884</x:v>
      </x:c>
      <x:c r="E5" s="130" t="n">
        <x:f>D5/SQRT(B5)</x:f>
        <x:v>0.11598262943465279</x:v>
      </x:c>
      <x:c r="F5" s="130" t="n">
        <x:v>1.9732308230715456</x:v>
      </x:c>
      <x:c r="G5" s="130" t="n">
        <x:f>C5-F5*E5</x:f>
        <x:v>3.914785909498437</x:v>
      </x:c>
      <x:c r="H5" s="130" t="n">
        <x:f>C5+F5*E5</x:f>
        <x:v>4.372506908181121</x:v>
      </x:c>
      <x:c r="I5" s="148" t="n">
        <x:v>5</x:v>
      </x:c>
      <x:c r="J5" s="148" t="n">
        <x:v>3</x:v>
      </x:c>
      <x:c r="K5" s="148" t="n">
        <x:v>5</x:v>
      </x:c>
    </x:row>
    <x:row r="6">
      <x:c r="A6" s="108" t="str">
        <x:v>Overall trust</x:v>
      </x:c>
      <x:c r="B6" s="144" t="n">
        <x:v>181</x:v>
      </x:c>
      <x:c r="C6" s="132" t="n">
        <x:v>3.5580110497237567</x:v>
      </x:c>
      <x:c r="D6" s="132" t="n">
        <x:v>1.6204266995967807</x:v>
      </x:c>
      <x:c r="E6" s="132" t="n">
        <x:f>D6/SQRT(B6)</x:f>
        <x:v>0.12044536802329026</x:v>
      </x:c>
      <x:c r="F6" s="132" t="n">
        <x:v>1.9732308230715456</x:v>
      </x:c>
      <x:c r="G6" s="132" t="n">
        <x:f>C6-F6*E6</x:f>
        <x:v>3.3203445370440043</x:v>
      </x:c>
      <x:c r="H6" s="132" t="n">
        <x:f>C6+F6*E6</x:f>
        <x:v>3.795677562403509</x:v>
      </x:c>
      <x:c r="I6" s="149" t="n">
        <x:v>4</x:v>
      </x:c>
      <x:c r="J6" s="149" t="n">
        <x:v>2</x:v>
      </x:c>
      <x:c r="K6" s="149" t="n">
        <x:v>5</x:v>
      </x:c>
    </x:row>
    <x:row r="7">
      <x:c r="A7" s="108" t="str">
        <x:v>Trust reduction after errors</x:v>
      </x:c>
      <x:c r="B7" s="144" t="n">
        <x:v>181</x:v>
      </x:c>
      <x:c r="C7" s="132" t="n">
        <x:v>4.502762430939226</x:v>
      </x:c>
      <x:c r="D7" s="132" t="n">
        <x:v>1.768942902766336</x:v>
      </x:c>
      <x:c r="E7" s="132" t="n">
        <x:f>D7/SQRT(B7)</x:f>
        <x:v>0.13148449046716879</x:v>
      </x:c>
      <x:c r="F7" s="132" t="n">
        <x:v>1.9732308230715456</x:v>
      </x:c>
      <x:c r="G7" s="132" t="n">
        <x:f>C7-F7*E7</x:f>
        <x:v>4.243313181593552</x:v>
      </x:c>
      <x:c r="H7" s="132" t="n">
        <x:f>C7+F7*E7</x:f>
        <x:v>4.7622116802849</x:v>
      </x:c>
      <x:c r="I7" s="149" t="n">
        <x:v>5</x:v>
      </x:c>
      <x:c r="J7" s="149" t="n">
        <x:v>3</x:v>
      </x:c>
      <x:c r="K7" s="149" t="n">
        <x:v>6</x:v>
      </x:c>
    </x:row>
    <x:row r="8">
      <x:c r="A8" s="108" t="str">
        <x:v>Perceived reliability</x:v>
      </x:c>
      <x:c r="B8" s="144" t="n">
        <x:v>181</x:v>
      </x:c>
      <x:c r="C8" s="132" t="n">
        <x:v>3.386740331491713</x:v>
      </x:c>
      <x:c r="D8" s="132" t="n">
        <x:v>1.4661517596066471</x:v>
      </x:c>
      <x:c r="E8" s="132" t="n">
        <x:f>D8/SQRT(B8)</x:f>
        <x:v>0.10897820204256034</x:v>
      </x:c>
      <x:c r="F8" s="132" t="n">
        <x:v>1.9732308230715456</x:v>
      </x:c>
      <x:c r="G8" s="132" t="n">
        <x:f>C8-F8*E8</x:f>
        <x:v>3.1717011841784144</x:v>
      </x:c>
      <x:c r="H8" s="132" t="n">
        <x:f>C8+F8*E8</x:f>
        <x:v>3.6017794788050113</x:v>
      </x:c>
      <x:c r="I8" s="149" t="n">
        <x:v>4</x:v>
      </x:c>
      <x:c r="J8" s="149" t="n">
        <x:v>2</x:v>
      </x:c>
      <x:c r="K8" s="149" t="n">
        <x:v>5</x:v>
      </x:c>
    </x:row>
    <x:row r="9">
      <x:c r="A9" s="108" t="str">
        <x:v>Perceived consistency</x:v>
      </x:c>
      <x:c r="B9" s="144" t="n">
        <x:v>181</x:v>
      </x:c>
      <x:c r="C9" s="132" t="n">
        <x:v>4.05524861878453</x:v>
      </x:c>
      <x:c r="D9" s="132" t="n">
        <x:v>1.3446344274191628</x:v>
      </x:c>
      <x:c r="E9" s="132" t="n">
        <x:f>D9/SQRT(B9)</x:f>
        <x:v>0.0999458898743074</x:v>
      </x:c>
      <x:c r="F9" s="132" t="n">
        <x:v>1.9732308230715456</x:v>
      </x:c>
      <x:c r="G9" s="132" t="n">
        <x:f>C9-F9*E9</x:f>
        <x:v>3.8580323082452326</x:v>
      </x:c>
      <x:c r="H9" s="132" t="n">
        <x:f>C9+F9*E9</x:f>
        <x:v>4.2524649293238275</x:v>
      </x:c>
      <x:c r="I9" s="149" t="n">
        <x:v>4</x:v>
      </x:c>
      <x:c r="J9" s="149" t="n">
        <x:v>3</x:v>
      </x:c>
      <x:c r="K9" s="149" t="n">
        <x:v>5</x:v>
      </x:c>
    </x:row>
    <x:row r="10">
      <x:c r="A10" s="108" t="str">
        <x:v>Frustration composite</x:v>
      </x:c>
      <x:c r="B10" s="144" t="n">
        <x:v>181</x:v>
      </x:c>
      <x:c r="C10" s="132" t="n">
        <x:v>4.645303867403315</x:v>
      </x:c>
      <x:c r="D10" s="132" t="n">
        <x:v>1.1876880161971382</x:v>
      </x:c>
      <x:c r="E10" s="132" t="n">
        <x:f>D10/SQRT(B10)</x:f>
        <x:v>0.08828015500072425</x:v>
      </x:c>
      <x:c r="F10" s="132" t="n">
        <x:v>1.9732308230715456</x:v>
      </x:c>
      <x:c r="G10" s="132" t="n">
        <x:f>C10-F10*E10</x:f>
        <x:v>4.471106744490352</x:v>
      </x:c>
      <x:c r="H10" s="132" t="n">
        <x:f>C10+F10*E10</x:f>
        <x:v>4.8195009903162775</x:v>
      </x:c>
      <x:c r="I10" s="149" t="n">
        <x:v>4.6</x:v>
      </x:c>
      <x:c r="J10" s="149" t="n">
        <x:v>3.8</x:v>
      </x:c>
      <x:c r="K10" s="149" t="n">
        <x:v>5.4</x:v>
      </x:c>
    </x:row>
    <x:row r="11">
      <x:c r="A11" s="108" t="str">
        <x:v>Scenario A after 1 wrong</x:v>
      </x:c>
      <x:c r="B11" s="144" t="n">
        <x:v>181</x:v>
      </x:c>
      <x:c r="C11" s="132" t="n">
        <x:v>2.9337016574585637</x:v>
      </x:c>
      <x:c r="D11" s="132" t="n">
        <x:v>1.7178869770892358</x:v>
      </x:c>
      <x:c r="E11" s="132" t="n">
        <x:f>D11/SQRT(B11)</x:f>
        <x:v>0.1276895333984669</x:v>
      </x:c>
      <x:c r="F11" s="132" t="n">
        <x:v>1.9732308230715456</x:v>
      </x:c>
      <x:c r="G11" s="132" t="n">
        <x:f>C11-F11*E11</x:f>
        <x:v>2.6817407343730855</x:v>
      </x:c>
      <x:c r="H11" s="132" t="n">
        <x:f>C11+F11*E11</x:f>
        <x:v>3.185662580544042</x:v>
      </x:c>
      <x:c r="I11" s="149" t="n">
        <x:v>2</x:v>
      </x:c>
      <x:c r="J11" s="149" t="n">
        <x:v>2</x:v>
      </x:c>
      <x:c r="K11" s="149" t="n">
        <x:v>4</x:v>
      </x:c>
    </x:row>
    <x:row r="12">
      <x:c r="A12" s="108" t="str">
        <x:v>Scenario A after 3 wrong</x:v>
      </x:c>
      <x:c r="B12" s="144" t="n">
        <x:v>181</x:v>
      </x:c>
      <x:c r="C12" s="132" t="n">
        <x:v>4.359116022099448</x:v>
      </x:c>
      <x:c r="D12" s="132" t="n">
        <x:v>1.7153837577825228</x:v>
      </x:c>
      <x:c r="E12" s="132" t="n">
        <x:f>D12/SQRT(B12)</x:f>
        <x:v>0.12750347057272163</x:v>
      </x:c>
      <x:c r="F12" s="132" t="n">
        <x:v>1.9732308230715456</x:v>
      </x:c>
      <x:c r="G12" s="132" t="n">
        <x:f>C12-F12*E12</x:f>
        <x:v>4.107522243916757</x:v>
      </x:c>
      <x:c r="H12" s="132" t="n">
        <x:f>C12+F12*E12</x:f>
        <x:v>4.610709800282138</x:v>
      </x:c>
      <x:c r="I12" s="149" t="n">
        <x:v>4</x:v>
      </x:c>
      <x:c r="J12" s="149" t="n">
        <x:v>3</x:v>
      </x:c>
      <x:c r="K12" s="149" t="n">
        <x:v>6</x:v>
      </x:c>
    </x:row>
    <x:row r="13">
      <x:c r="A13" s="108" t="str">
        <x:v>Scenario A after 5 wrong</x:v>
      </x:c>
      <x:c r="B13" s="144" t="n">
        <x:v>181</x:v>
      </x:c>
      <x:c r="C13" s="132" t="n">
        <x:v>5.259668508287293</x:v>
      </x:c>
      <x:c r="D13" s="132" t="n">
        <x:v>1.6445120521001853</x:v>
      </x:c>
      <x:c r="E13" s="132" t="n">
        <x:f>D13/SQRT(B13)</x:f>
        <x:v>0.12223561817589827</x:v>
      </x:c>
      <x:c r="F13" s="132" t="n">
        <x:v>1.9732308230715456</x:v>
      </x:c>
      <x:c r="G13" s="132" t="n">
        <x:f>C13-F13*E13</x:f>
        <x:v>5.018469418825406</x:v>
      </x:c>
      <x:c r="H13" s="132" t="n">
        <x:f>C13+F13*E13</x:f>
        <x:v>5.500867597749179</x:v>
      </x:c>
      <x:c r="I13" s="149" t="n">
        <x:v>6</x:v>
      </x:c>
      <x:c r="J13" s="149" t="n">
        <x:v>4</x:v>
      </x:c>
      <x:c r="K13" s="149" t="n">
        <x:v>7</x:v>
      </x:c>
    </x:row>
    <x:row r="14">
      <x:c r="A14" s="108" t="str">
        <x:v>Scenario A after 8 wrong</x:v>
      </x:c>
      <x:c r="B14" s="144" t="n">
        <x:v>181</x:v>
      </x:c>
      <x:c r="C14" s="132" t="n">
        <x:v>5.773480662983426</x:v>
      </x:c>
      <x:c r="D14" s="132" t="n">
        <x:v>1.6827766524776848</x:v>
      </x:c>
      <x:c r="E14" s="132" t="n">
        <x:f>D14/SQRT(B14)</x:f>
        <x:v>0.12507980352280654</x:v>
      </x:c>
      <x:c r="F14" s="132" t="n">
        <x:v>1.9732308230715456</x:v>
      </x:c>
      <x:c r="G14" s="132" t="n">
        <x:f>C14-F14*E14</x:f>
        <x:v>5.526669339328491</x:v>
      </x:c>
      <x:c r="H14" s="132" t="n">
        <x:f>C14+F14*E14</x:f>
        <x:v>6.020291986638361</x:v>
      </x:c>
      <x:c r="I14" s="149" t="n">
        <x:v>7</x:v>
      </x:c>
      <x:c r="J14" s="149" t="n">
        <x:v>5</x:v>
      </x:c>
      <x:c r="K14" s="149" t="n">
        <x:v>7</x:v>
      </x:c>
    </x:row>
    <x:row r="15">
      <x:c r="A15" s="108" t="str">
        <x:v>Scenario B early (1/3 wrong)</x:v>
      </x:c>
      <x:c r="B15" s="144" t="n">
        <x:v>181</x:v>
      </x:c>
      <x:c r="C15" s="132" t="n">
        <x:v>3.342541436464088</x:v>
      </x:c>
      <x:c r="D15" s="132" t="n">
        <x:v>1.5754407336418355</x:v>
      </x:c>
      <x:c r="E15" s="132" t="n">
        <x:f>D15/SQRT(B15)</x:f>
        <x:v>0.11710158750753175</x:v>
      </x:c>
      <x:c r="F15" s="132" t="n">
        <x:v>1.9732308230715456</x:v>
      </x:c>
      <x:c r="G15" s="132" t="n">
        <x:f>C15-F15*E15</x:f>
        <x:v>3.1114729745636165</x:v>
      </x:c>
      <x:c r="H15" s="132" t="n">
        <x:f>C15+F15*E15</x:f>
        <x:v>3.57360989836456</x:v>
      </x:c>
      <x:c r="I15" s="149" t="n">
        <x:v>3</x:v>
      </x:c>
      <x:c r="J15" s="149" t="n">
        <x:v>2</x:v>
      </x:c>
      <x:c r="K15" s="149" t="n">
        <x:v>4</x:v>
      </x:c>
    </x:row>
    <x:row r="16">
      <x:c r="A16" s="108" t="str">
        <x:v>Scenario B halfway (3/6 wrong)</x:v>
      </x:c>
      <x:c r="B16" s="144" t="n">
        <x:v>181</x:v>
      </x:c>
      <x:c r="C16" s="132" t="n">
        <x:v>4.662983425414365</x:v>
      </x:c>
      <x:c r="D16" s="132" t="n">
        <x:v>1.5535657711469162</x:v>
      </x:c>
      <x:c r="E16" s="132" t="n">
        <x:f>D16/SQRT(B16)</x:f>
        <x:v>0.11547563435034677</x:v>
      </x:c>
      <x:c r="F16" s="132" t="n">
        <x:v>1.9732308230715456</x:v>
      </x:c>
      <x:c r="G16" s="132" t="n">
        <x:f>C16-F16*E16</x:f>
        <x:v>4.435123344400521</x:v>
      </x:c>
      <x:c r="H16" s="132" t="n">
        <x:f>C16+F16*E16</x:f>
        <x:v>4.890843506428208</x:v>
      </x:c>
      <x:c r="I16" s="149" t="n">
        <x:v>5</x:v>
      </x:c>
      <x:c r="J16" s="149" t="n">
        <x:v>4</x:v>
      </x:c>
      <x:c r="K16" s="149" t="n">
        <x:v>6</x:v>
      </x:c>
    </x:row>
    <x:row r="17">
      <x:c r="A17" s="109" t="str">
        <x:v>Scenario B near end (5/10 wrong)</x:v>
      </x:c>
      <x:c r="B17" s="146" t="n">
        <x:v>181</x:v>
      </x:c>
      <x:c r="C17" s="134" t="n">
        <x:v>5.5911602209944755</x:v>
      </x:c>
      <x:c r="D17" s="134" t="n">
        <x:v>1.5197694568467928</x:v>
      </x:c>
      <x:c r="E17" s="134" t="n">
        <x:f>D17/SQRT(B17)</x:f>
        <x:v>0.11296357409194566</x:v>
      </x:c>
      <x:c r="F17" s="134" t="n">
        <x:v>1.9732308230715456</x:v>
      </x:c>
      <x:c r="G17" s="134" t="n">
        <x:f>C17-F17*E17</x:f>
        <x:v>5.368257014711922</x:v>
      </x:c>
      <x:c r="H17" s="134" t="n">
        <x:f>C17+F17*E17</x:f>
        <x:v>5.814063427277029</x:v>
      </x:c>
      <x:c r="I17" s="150" t="n">
        <x:v>6</x:v>
      </x:c>
      <x:c r="J17" s="150" t="n">
        <x:v>5</x:v>
      </x:c>
      <x:c r="K17" s="150" t="n">
        <x:v>7</x:v>
      </x:c>
    </x:row>
    <x:row r="18">
      <x:c r="A18" s="121"/>
      <x:c r="B18" s="121"/>
      <x:c r="C18" s="121"/>
      <x:c r="D18" s="121"/>
      <x:c r="E18" s="121"/>
      <x:c r="F18" s="121"/>
      <x:c r="G18" s="121"/>
      <x:c r="H18" s="121"/>
      <x:c r="I18" s="121"/>
      <x:c r="J18" s="121"/>
      <x:c r="K18" s="121"/>
    </x:row>
    <x:row r="19" ht="34" customHeight="1">
      <x:c r="A19" s="117" t="str">
        <x:v>Scale endpoints are 1-7. The composite reverses the positively worded time-use and confidence items, then averages five items. Treat alpha=.694 as marginal exploratory consistency, not evidence that the composite is unidimensional or valid.</x:v>
      </x:c>
      <x:c r="B19" s="118"/>
      <x:c r="C19" s="118"/>
      <x:c r="D19" s="118"/>
      <x:c r="E19" s="118"/>
      <x:c r="F19" s="118"/>
      <x:c r="G19" s="118"/>
      <x:c r="H19" s="118"/>
      <x:c r="I19" s="118"/>
      <x:c r="J19" s="118"/>
      <x:c r="K19" s="119"/>
    </x:row>
  </x:sheetData>
  <x:mergeCells>
    <x:mergeCell ref="A1:K1"/>
    <x:mergeCell ref="A2:K2"/>
    <x:mergeCell ref="A19:K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6" hidden="0" customWidth="1"/>
    <x:col min="3" max="3" width="9" hidden="0" customWidth="1"/>
    <x:col min="4" max="4" width="14" hidden="0" customWidth="1"/>
    <x:col min="5" max="5" width="14" hidden="0" customWidth="1"/>
    <x:col min="6" max="6" width="8" hidden="0" customWidth="1"/>
    <x:col min="7" max="7" width="8" hidden="0" customWidth="1"/>
    <x:col min="8" max="8" width="8" hidden="0" customWidth="1"/>
    <x:col min="9" max="9" width="14" hidden="0" customWidth="1"/>
    <x:col min="10" max="10" width="16" hidden="0" customWidth="1"/>
    <x:col min="11" max="11" width="14" hidden="0" customWidth="1"/>
  </x:cols>
  <x:sheetData>
    <x:row r="1" ht="32" customHeight="1">
      <x:c r="A1" s="120" t="str">
        <x:v>H1 - Frustration Increases Across Repeated Errors</x:v>
      </x:c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</x:row>
    <x:row r="2" ht="30" customHeight="1">
      <x:c r="A2" s="111" t="str">
        <x:v>Strong support in both hypothetical within-person sequences; inference uses Friedman tests and Holm-adjusted paired Wilcoxon tests.</x:v>
      </x:c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  <x:c r="K3" s="121"/>
      <x:c r="L3" s="121"/>
    </x:row>
    <x:row r="4" ht="22" customHeight="1">
      <x:c r="A4" s="122" t="str">
        <x:v>Omnibus tests</x:v>
      </x:c>
      <x:c r="B4" s="122"/>
      <x:c r="C4" s="122"/>
      <x:c r="D4" s="122"/>
      <x:c r="E4" s="122"/>
      <x:c r="F4" s="122"/>
      <x:c r="G4" s="122"/>
      <x:c r="H4" s="122"/>
      <x:c r="I4" s="122"/>
      <x:c r="J4" s="122"/>
      <x:c r="K4" s="122"/>
      <x:c r="L4" s="122"/>
    </x:row>
    <x:row r="5">
      <x:c r="A5" s="114" t="str">
        <x:v>Scenario</x:v>
      </x:c>
      <x:c r="B5" s="115" t="str">
        <x:v>N</x:v>
      </x:c>
      <x:c r="C5" s="115" t="str">
        <x:v>Checkpoints</x:v>
      </x:c>
      <x:c r="D5" s="115" t="str">
        <x:v>Friedman chi-square</x:v>
      </x:c>
      <x:c r="E5" s="115" t="str">
        <x:v>df</x:v>
      </x:c>
      <x:c r="F5" s="115" t="str">
        <x:v>p</x:v>
      </x:c>
      <x:c r="G5" s="115" t="str">
        <x:v>Kendall's W</x:v>
      </x:c>
      <x:c r="H5" s="116" t="str">
        <x:v>Verdict</x:v>
      </x:c>
      <x:c r="I5" s="121"/>
      <x:c r="J5" s="121"/>
      <x:c r="K5" s="121"/>
      <x:c r="L5" s="121"/>
    </x:row>
    <x:row r="6">
      <x:c r="A6" s="107" t="str">
        <x:v>A: always wrong</x:v>
      </x:c>
      <x:c r="B6" s="142" t="n">
        <x:v>181</x:v>
      </x:c>
      <x:c r="C6" s="142" t="n">
        <x:v>4</x:v>
      </x:c>
      <x:c r="D6" s="130" t="n">
        <x:v>374.6015625</x:v>
      </x:c>
      <x:c r="E6" s="142" t="n">
        <x:v>3</x:v>
      </x:c>
      <x:c r="F6" s="151" t="n">
        <x:v>7.017522991270005e-81</x:v>
      </x:c>
      <x:c r="G6" s="130" t="n">
        <x:v>0.6898739640883977</x:v>
      </x:c>
      <x:c r="H6" s="107" t="str">
        <x:v>Strong increase</x:v>
      </x:c>
      <x:c r="I6" s="121"/>
      <x:c r="J6" s="121"/>
      <x:c r="K6" s="121"/>
      <x:c r="L6" s="121"/>
    </x:row>
    <x:row r="7">
      <x:c r="A7" s="109" t="str">
        <x:v>B: inconsistently wrong</x:v>
      </x:c>
      <x:c r="B7" s="146" t="n">
        <x:v>181</x:v>
      </x:c>
      <x:c r="C7" s="146" t="n">
        <x:v>3</x:v>
      </x:c>
      <x:c r="D7" s="134" t="n">
        <x:v>275.12478031634424</x:v>
      </x:c>
      <x:c r="E7" s="146" t="n">
        <x:v>2</x:v>
      </x:c>
      <x:c r="F7" s="152" t="n">
        <x:v>1.8088936611645266e-60</x:v>
      </x:c>
      <x:c r="G7" s="134" t="n">
        <x:v>0.7600132052937686</x:v>
      </x:c>
      <x:c r="H7" s="109" t="str">
        <x:v>Strong increase</x:v>
      </x:c>
      <x:c r="I7" s="121"/>
      <x:c r="J7" s="121"/>
      <x:c r="K7" s="121"/>
      <x:c r="L7" s="121"/>
    </x:row>
    <x:row r="8">
      <x:c r="A8" s="121"/>
      <x:c r="B8" s="121"/>
      <x:c r="C8" s="121"/>
      <x:c r="D8" s="121"/>
      <x:c r="E8" s="121"/>
      <x:c r="F8" s="121"/>
      <x:c r="G8" s="121"/>
      <x:c r="H8" s="121"/>
      <x:c r="I8" s="121"/>
      <x:c r="J8" s="121"/>
      <x:c r="K8" s="121"/>
      <x:c r="L8" s="121"/>
    </x:row>
    <x:row r="9" ht="22" customHeight="1">
      <x:c r="A9" s="122" t="str">
        <x:v>Trajectory chart</x:v>
      </x:c>
      <x:c r="B9" s="122"/>
      <x:c r="C9" s="122"/>
      <x:c r="D9" s="122"/>
      <x:c r="E9" s="122"/>
      <x:c r="F9" s="122"/>
      <x:c r="G9" s="122"/>
      <x:c r="H9" s="122"/>
      <x:c r="I9" s="122"/>
      <x:c r="J9" s="122"/>
      <x:c r="K9" s="122"/>
      <x:c r="L9" s="122"/>
    </x:row>
    <x:row r="10">
      <x:c r="A10" s="114" t="str">
        <x:v>Scenario A checkpoint</x:v>
      </x:c>
      <x:c r="B10" s="116" t="str">
        <x:v>Mean</x:v>
      </x:c>
      <x:c r="C10" s="121"/>
      <x:c r="D10" s="114" t="str">
        <x:v>Scenario B checkpoint</x:v>
      </x:c>
      <x:c r="E10" s="116" t="str">
        <x:v>Mean</x:v>
      </x:c>
      <x:c r="F10" s="121"/>
      <x:c r="G10" s="121"/>
      <x:c r="H10" s="121"/>
      <x:c r="I10" s="121"/>
      <x:c r="J10" s="121"/>
      <x:c r="K10" s="121"/>
      <x:c r="L10" s="121"/>
    </x:row>
    <x:row r="11">
      <x:c r="A11" s="107" t="str">
        <x:v>After 1 wrong</x:v>
      </x:c>
      <x:c r="B11" s="153" t="n">
        <x:v>2.9337016574585637</x:v>
      </x:c>
      <x:c r="C11" s="121"/>
      <x:c r="D11" s="107" t="str">
        <x:v>Early: 1/3 wrong</x:v>
      </x:c>
      <x:c r="E11" s="153" t="n">
        <x:v>3.342541436464088</x:v>
      </x:c>
      <x:c r="F11" s="121"/>
      <x:c r="G11" s="121"/>
      <x:c r="H11" s="121"/>
      <x:c r="I11" s="121"/>
      <x:c r="J11" s="121"/>
      <x:c r="K11" s="121"/>
      <x:c r="L11" s="121"/>
    </x:row>
    <x:row r="12">
      <x:c r="A12" s="108" t="str">
        <x:v>After 3 wrong</x:v>
      </x:c>
      <x:c r="B12" s="154" t="n">
        <x:v>4.359116022099448</x:v>
      </x:c>
      <x:c r="C12" s="121"/>
      <x:c r="D12" s="108" t="str">
        <x:v>Halfway: 3/6 wrong</x:v>
      </x:c>
      <x:c r="E12" s="154" t="n">
        <x:v>4.662983425414365</x:v>
      </x:c>
      <x:c r="F12" s="121"/>
      <x:c r="G12" s="121"/>
      <x:c r="H12" s="121"/>
      <x:c r="I12" s="121"/>
      <x:c r="J12" s="121"/>
      <x:c r="K12" s="121"/>
      <x:c r="L12" s="121"/>
    </x:row>
    <x:row r="13">
      <x:c r="A13" s="108" t="str">
        <x:v>After 5 wrong</x:v>
      </x:c>
      <x:c r="B13" s="154" t="n">
        <x:v>5.259668508287293</x:v>
      </x:c>
      <x:c r="C13" s="121"/>
      <x:c r="D13" s="109" t="str">
        <x:v>Near end: 5/10 wrong</x:v>
      </x:c>
      <x:c r="E13" s="155" t="n">
        <x:v>5.5911602209944755</x:v>
      </x:c>
      <x:c r="F13" s="121"/>
      <x:c r="G13" s="121"/>
      <x:c r="H13" s="121"/>
      <x:c r="I13" s="121"/>
      <x:c r="J13" s="121"/>
      <x:c r="K13" s="121"/>
      <x:c r="L13" s="121"/>
    </x:row>
    <x:row r="14">
      <x:c r="A14" s="109" t="str">
        <x:v>After 8 wrong</x:v>
      </x:c>
      <x:c r="B14" s="155" t="n">
        <x:v>5.773480662983426</x:v>
      </x:c>
      <x:c r="C14" s="121"/>
      <x:c r="D14" s="121"/>
      <x:c r="E14" s="121"/>
      <x:c r="F14" s="121"/>
      <x:c r="G14" s="121"/>
      <x:c r="H14" s="121"/>
      <x:c r="I14" s="121"/>
      <x:c r="J14" s="121"/>
      <x:c r="K14" s="121"/>
      <x:c r="L14" s="121"/>
    </x:row>
    <x:row r="15">
      <x:c r="A15" s="121"/>
      <x:c r="B15" s="121"/>
      <x:c r="C15" s="121"/>
      <x:c r="D15" s="121"/>
      <x:c r="E15" s="121"/>
      <x:c r="F15" s="121"/>
      <x:c r="G15" s="121"/>
      <x:c r="H15" s="121"/>
      <x:c r="I15" s="121"/>
      <x:c r="J15" s="121"/>
      <x:c r="K15" s="121"/>
      <x:c r="L15" s="121"/>
    </x:row>
    <x:row r="16">
      <x:c r="A16" s="121"/>
      <x:c r="B16" s="121"/>
      <x:c r="C16" s="121"/>
      <x:c r="D16" s="121"/>
      <x:c r="E16" s="121"/>
      <x:c r="F16" s="121"/>
      <x:c r="G16" s="121"/>
      <x:c r="H16" s="121"/>
      <x:c r="I16" s="121"/>
      <x:c r="J16" s="121"/>
      <x:c r="K16" s="121"/>
      <x:c r="L16" s="121"/>
    </x:row>
    <x:row r="17">
      <x:c r="A17" s="121"/>
      <x:c r="B17" s="121"/>
      <x:c r="C17" s="121"/>
      <x:c r="D17" s="121"/>
      <x:c r="E17" s="121"/>
      <x:c r="F17" s="121"/>
      <x:c r="G17" s="121"/>
      <x:c r="H17" s="121"/>
      <x:c r="I17" s="121"/>
      <x:c r="J17" s="121"/>
      <x:c r="K17" s="121"/>
      <x:c r="L17" s="121"/>
    </x:row>
    <x:row r="18">
      <x:c r="A18" s="121"/>
      <x:c r="B18" s="121"/>
      <x:c r="C18" s="121"/>
      <x:c r="D18" s="121"/>
      <x:c r="E18" s="121"/>
      <x:c r="F18" s="121"/>
      <x:c r="G18" s="121"/>
      <x:c r="H18" s="121"/>
      <x:c r="I18" s="121"/>
      <x:c r="J18" s="121"/>
      <x:c r="K18" s="121"/>
      <x:c r="L18" s="121"/>
    </x:row>
    <x:row r="19">
      <x:c r="A19" s="121"/>
      <x:c r="B19" s="121"/>
      <x:c r="C19" s="121"/>
      <x:c r="D19" s="121"/>
      <x:c r="E19" s="121"/>
      <x:c r="F19" s="121"/>
      <x:c r="G19" s="121"/>
      <x:c r="H19" s="121"/>
      <x:c r="I19" s="121"/>
      <x:c r="J19" s="121"/>
      <x:c r="K19" s="121"/>
      <x:c r="L19" s="121"/>
    </x:row>
    <x:row r="20">
      <x:c r="A20" s="121"/>
      <x:c r="B20" s="121"/>
      <x:c r="C20" s="121"/>
      <x:c r="D20" s="121"/>
      <x:c r="E20" s="121"/>
      <x:c r="F20" s="121"/>
      <x:c r="G20" s="121"/>
      <x:c r="H20" s="121"/>
      <x:c r="I20" s="121"/>
      <x:c r="J20" s="121"/>
      <x:c r="K20" s="121"/>
      <x:c r="L20" s="121"/>
    </x:row>
    <x:row r="21">
      <x:c r="A21" s="121"/>
      <x:c r="B21" s="121"/>
      <x:c r="C21" s="121"/>
      <x:c r="D21" s="121"/>
      <x:c r="E21" s="121"/>
      <x:c r="F21" s="121"/>
      <x:c r="G21" s="121"/>
      <x:c r="H21" s="121"/>
      <x:c r="I21" s="121"/>
      <x:c r="J21" s="121"/>
      <x:c r="K21" s="121"/>
      <x:c r="L21" s="121"/>
    </x:row>
    <x:row r="22">
      <x:c r="A22" s="121"/>
      <x:c r="B22" s="121"/>
      <x:c r="C22" s="121"/>
      <x:c r="D22" s="121"/>
      <x:c r="E22" s="121"/>
      <x:c r="F22" s="121"/>
      <x:c r="G22" s="121"/>
      <x:c r="H22" s="121"/>
      <x:c r="I22" s="121"/>
      <x:c r="J22" s="121"/>
      <x:c r="K22" s="121"/>
      <x:c r="L22" s="121"/>
    </x:row>
    <x:row r="23">
      <x:c r="A23" s="121"/>
      <x:c r="B23" s="121"/>
      <x:c r="C23" s="121"/>
      <x:c r="D23" s="121"/>
      <x:c r="E23" s="121"/>
      <x:c r="F23" s="121"/>
      <x:c r="G23" s="121"/>
      <x:c r="H23" s="121"/>
      <x:c r="I23" s="121"/>
      <x:c r="J23" s="121"/>
      <x:c r="K23" s="121"/>
      <x:c r="L23" s="121"/>
    </x:row>
    <x:row r="24">
      <x:c r="A24" s="121"/>
      <x:c r="B24" s="121"/>
      <x:c r="C24" s="121"/>
      <x:c r="D24" s="121"/>
      <x:c r="E24" s="121"/>
      <x:c r="F24" s="121"/>
      <x:c r="G24" s="121"/>
      <x:c r="H24" s="121"/>
      <x:c r="I24" s="121"/>
      <x:c r="J24" s="121"/>
      <x:c r="K24" s="121"/>
      <x:c r="L24" s="121"/>
    </x:row>
    <x:row r="25">
      <x:c r="A25" s="121"/>
      <x:c r="B25" s="121"/>
      <x:c r="C25" s="121"/>
      <x:c r="D25" s="121"/>
      <x:c r="E25" s="121"/>
      <x:c r="F25" s="121"/>
      <x:c r="G25" s="121"/>
      <x:c r="H25" s="121"/>
      <x:c r="I25" s="121"/>
      <x:c r="J25" s="121"/>
      <x:c r="K25" s="121"/>
      <x:c r="L25" s="121"/>
    </x:row>
    <x:row r="26" ht="22" customHeight="1">
      <x:c r="A26" s="122" t="str">
        <x:v>Pairwise contrasts</x:v>
      </x:c>
      <x:c r="B26" s="122"/>
      <x:c r="C26" s="122"/>
      <x:c r="D26" s="122"/>
      <x:c r="E26" s="122"/>
      <x:c r="F26" s="122"/>
      <x:c r="G26" s="122"/>
      <x:c r="H26" s="122"/>
      <x:c r="I26" s="122"/>
      <x:c r="J26" s="122"/>
      <x:c r="K26" s="122"/>
      <x:c r="L26" s="122"/>
    </x:row>
    <x:row r="27">
      <x:c r="A27" s="114" t="str">
        <x:v>Family</x:v>
      </x:c>
      <x:c r="B27" s="115" t="str">
        <x:v>Comparison</x:v>
      </x:c>
      <x:c r="C27" s="115" t="str">
        <x:v>N</x:v>
      </x:c>
      <x:c r="D27" s="115" t="str">
        <x:v>Mean diff</x:v>
      </x:c>
      <x:c r="E27" s="115" t="str">
        <x:v>Median diff</x:v>
      </x:c>
      <x:c r="F27" s="115" t="str">
        <x:v>+</x:v>
      </x:c>
      <x:c r="G27" s="115" t="str">
        <x:v>0</x:v>
      </x:c>
      <x:c r="H27" s="115" t="str">
        <x:v>-</x:v>
      </x:c>
      <x:c r="I27" s="115" t="str">
        <x:v>W</x:v>
      </x:c>
      <x:c r="J27" s="115" t="str">
        <x:v>p (Holm)</x:v>
      </x:c>
      <x:c r="K27" s="116" t="str">
        <x:v>Cohen dz</x:v>
      </x:c>
      <x:c r="L27" s="121"/>
    </x:row>
    <x:row r="28">
      <x:c r="A28" s="107" t="str">
        <x:v>Scenario A</x:v>
      </x:c>
      <x:c r="B28" s="107" t="str">
        <x:v>A after 3 errors - A after 1 error</x:v>
      </x:c>
      <x:c r="C28" s="142" t="n">
        <x:v>181</x:v>
      </x:c>
      <x:c r="D28" s="130" t="n">
        <x:v>1.425414364640884</x:v>
      </x:c>
      <x:c r="E28" s="148" t="n">
        <x:v>1</x:v>
      </x:c>
      <x:c r="F28" s="142" t="n">
        <x:v>142</x:v>
      </x:c>
      <x:c r="G28" s="142" t="n">
        <x:v>37</x:v>
      </x:c>
      <x:c r="H28" s="142" t="n">
        <x:v>2</x:v>
      </x:c>
      <x:c r="I28" s="148" t="n">
        <x:v>142</x:v>
      </x:c>
      <x:c r="J28" s="151" t="n">
        <x:v>5.173955835537707e-28</x:v>
      </x:c>
      <x:c r="K28" s="130" t="n">
        <x:v>1.2089165781512483</x:v>
      </x:c>
      <x:c r="L28" s="121"/>
    </x:row>
    <x:row r="29">
      <x:c r="A29" s="108" t="str">
        <x:v>Scenario A</x:v>
      </x:c>
      <x:c r="B29" s="108" t="str">
        <x:v>A after 5 errors - A after 1 error</x:v>
      </x:c>
      <x:c r="C29" s="144" t="n">
        <x:v>181</x:v>
      </x:c>
      <x:c r="D29" s="132" t="n">
        <x:v>2.3259668508287294</x:v>
      </x:c>
      <x:c r="E29" s="149" t="n">
        <x:v>2</x:v>
      </x:c>
      <x:c r="F29" s="144" t="n">
        <x:v>152</x:v>
      </x:c>
      <x:c r="G29" s="144" t="n">
        <x:v>27</x:v>
      </x:c>
      <x:c r="H29" s="144" t="n">
        <x:v>2</x:v>
      </x:c>
      <x:c r="I29" s="149" t="n">
        <x:v>193</x:v>
      </x:c>
      <x:c r="J29" s="156" t="n">
        <x:v>2.2813569182699327e-28</x:v>
      </x:c>
      <x:c r="K29" s="132" t="n">
        <x:v>1.4714500304349896</x:v>
      </x:c>
      <x:c r="L29" s="121"/>
    </x:row>
    <x:row r="30">
      <x:c r="A30" s="108" t="str">
        <x:v>Scenario A</x:v>
      </x:c>
      <x:c r="B30" s="108" t="str">
        <x:v>A after 8 errors - A after 1 error</x:v>
      </x:c>
      <x:c r="C30" s="144" t="n">
        <x:v>181</x:v>
      </x:c>
      <x:c r="D30" s="132" t="n">
        <x:v>2.839779005524862</x:v>
      </x:c>
      <x:c r="E30" s="149" t="n">
        <x:v>3</x:v>
      </x:c>
      <x:c r="F30" s="144" t="n">
        <x:v>151</x:v>
      </x:c>
      <x:c r="G30" s="144" t="n">
        <x:v>25</x:v>
      </x:c>
      <x:c r="H30" s="144" t="n">
        <x:v>5</x:v>
      </x:c>
      <x:c r="I30" s="149" t="n">
        <x:v>306</x:v>
      </x:c>
      <x:c r="J30" s="156" t="n">
        <x:v>7.682944125970786e-28</x:v>
      </x:c>
      <x:c r="K30" s="132" t="n">
        <x:v>1.4894109814313976</x:v>
      </x:c>
      <x:c r="L30" s="121"/>
    </x:row>
    <x:row r="31">
      <x:c r="A31" s="108" t="str">
        <x:v>Scenario A</x:v>
      </x:c>
      <x:c r="B31" s="108" t="str">
        <x:v>A after 5 errors - A after 3 errors</x:v>
      </x:c>
      <x:c r="C31" s="144" t="n">
        <x:v>181</x:v>
      </x:c>
      <x:c r="D31" s="132" t="n">
        <x:v>0.9005524861878453</x:v>
      </x:c>
      <x:c r="E31" s="149" t="n">
        <x:v>1</x:v>
      </x:c>
      <x:c r="F31" s="144" t="n">
        <x:v>117</x:v>
      </x:c>
      <x:c r="G31" s="144" t="n">
        <x:v>58</x:v>
      </x:c>
      <x:c r="H31" s="144" t="n">
        <x:v>6</x:v>
      </x:c>
      <x:c r="I31" s="149" t="n">
        <x:v>694</x:v>
      </x:c>
      <x:c r="J31" s="156" t="n">
        <x:v>4.034659134552449e-22</x:v>
      </x:c>
      <x:c r="K31" s="132" t="n">
        <x:v>0.9315784810164016</x:v>
      </x:c>
      <x:c r="L31" s="121"/>
    </x:row>
    <x:row r="32">
      <x:c r="A32" s="108" t="str">
        <x:v>Scenario A</x:v>
      </x:c>
      <x:c r="B32" s="108" t="str">
        <x:v>A after 8 errors - A after 3 errors</x:v>
      </x:c>
      <x:c r="C32" s="144" t="n">
        <x:v>181</x:v>
      </x:c>
      <x:c r="D32" s="132" t="n">
        <x:v>1.4143646408839778</x:v>
      </x:c>
      <x:c r="E32" s="149" t="n">
        <x:v>2</x:v>
      </x:c>
      <x:c r="F32" s="144" t="n">
        <x:v>129</x:v>
      </x:c>
      <x:c r="G32" s="144" t="n">
        <x:v>45</x:v>
      </x:c>
      <x:c r="H32" s="144" t="n">
        <x:v>7</x:v>
      </x:c>
      <x:c r="I32" s="149" t="n">
        <x:v>798.5</x:v>
      </x:c>
      <x:c r="J32" s="156" t="n">
        <x:v>8.388990294794169e-23</x:v>
      </x:c>
      <x:c r="K32" s="132" t="n">
        <x:v>1.0058189848602919</x:v>
      </x:c>
      <x:c r="L32" s="121"/>
    </x:row>
    <x:row r="33">
      <x:c r="A33" s="108" t="str">
        <x:v>Scenario A</x:v>
      </x:c>
      <x:c r="B33" s="108" t="str">
        <x:v>A after 8 errors - A after 5 errors</x:v>
      </x:c>
      <x:c r="C33" s="144" t="n">
        <x:v>181</x:v>
      </x:c>
      <x:c r="D33" s="132" t="n">
        <x:v>0.5138121546961326</x:v>
      </x:c>
      <x:c r="E33" s="149" t="n">
        <x:v>0</x:v>
      </x:c>
      <x:c r="F33" s="144" t="n">
        <x:v>82</x:v>
      </x:c>
      <x:c r="G33" s="144" t="n">
        <x:v>94</x:v>
      </x:c>
      <x:c r="H33" s="144" t="n">
        <x:v>5</x:v>
      </x:c>
      <x:c r="I33" s="149" t="n">
        <x:v>781.5</x:v>
      </x:c>
      <x:c r="J33" s="156" t="n">
        <x:v>9.202171699790446e-16</x:v>
      </x:c>
      <x:c r="K33" s="132" t="n">
        <x:v>0.6160438593191977</x:v>
      </x:c>
      <x:c r="L33" s="121"/>
    </x:row>
    <x:row r="34">
      <x:c r="A34" s="108" t="str">
        <x:v>Scenario B</x:v>
      </x:c>
      <x:c r="B34" s="108" t="str">
        <x:v>B halfway (3/6) - B early (1/3)</x:v>
      </x:c>
      <x:c r="C34" s="144" t="n">
        <x:v>181</x:v>
      </x:c>
      <x:c r="D34" s="132" t="n">
        <x:v>1.3204419889502763</x:v>
      </x:c>
      <x:c r="E34" s="149" t="n">
        <x:v>1</x:v>
      </x:c>
      <x:c r="F34" s="144" t="n">
        <x:v>138</x:v>
      </x:c>
      <x:c r="G34" s="144" t="n">
        <x:v>42</x:v>
      </x:c>
      <x:c r="H34" s="144" t="n">
        <x:v>1</x:v>
      </x:c>
      <x:c r="I34" s="149" t="n">
        <x:v>76</x:v>
      </x:c>
      <x:c r="J34" s="156" t="n">
        <x:v>2.7280516128041634e-28</x:v>
      </x:c>
      <x:c r="K34" s="132" t="n">
        <x:v>1.20703051170411</x:v>
      </x:c>
      <x:c r="L34" s="121"/>
    </x:row>
    <x:row r="35">
      <x:c r="A35" s="108" t="str">
        <x:v>Scenario B</x:v>
      </x:c>
      <x:c r="B35" s="108" t="str">
        <x:v>B near end (5/10) - B early (1/3)</x:v>
      </x:c>
      <x:c r="C35" s="144" t="n">
        <x:v>181</x:v>
      </x:c>
      <x:c r="D35" s="132" t="n">
        <x:v>2.248618784530387</x:v>
      </x:c>
      <x:c r="E35" s="149" t="n">
        <x:v>2</x:v>
      </x:c>
      <x:c r="F35" s="144" t="n">
        <x:v>155</x:v>
      </x:c>
      <x:c r="G35" s="144" t="n">
        <x:v>25</x:v>
      </x:c>
      <x:c r="H35" s="144" t="n">
        <x:v>1</x:v>
      </x:c>
      <x:c r="I35" s="149" t="n">
        <x:v>76.5</x:v>
      </x:c>
      <x:c r="J35" s="156" t="n">
        <x:v>9.703309093398388e-30</x:v>
      </x:c>
      <x:c r="K35" s="132" t="n">
        <x:v>1.5562045323321387</x:v>
      </x:c>
      <x:c r="L35" s="121"/>
    </x:row>
    <x:row r="36">
      <x:c r="A36" s="109" t="str">
        <x:v>Scenario B</x:v>
      </x:c>
      <x:c r="B36" s="109" t="str">
        <x:v>B near end (5/10) - B halfway (3/6)</x:v>
      </x:c>
      <x:c r="C36" s="146" t="n">
        <x:v>181</x:v>
      </x:c>
      <x:c r="D36" s="134" t="n">
        <x:v>0.9281767955801105</x:v>
      </x:c>
      <x:c r="E36" s="150" t="n">
        <x:v>1</x:v>
      </x:c>
      <x:c r="F36" s="146" t="n">
        <x:v>115</x:v>
      </x:c>
      <x:c r="G36" s="146" t="n">
        <x:v>64</x:v>
      </x:c>
      <x:c r="H36" s="146" t="n">
        <x:v>2</x:v>
      </x:c>
      <x:c r="I36" s="150" t="n">
        <x:v>204</x:v>
      </x:c>
      <x:c r="J36" s="152" t="n">
        <x:v>1.3576278057622749e-24</x:v>
      </x:c>
      <x:c r="K36" s="134" t="n">
        <x:v>0.9968100192462889</x:v>
      </x:c>
      <x:c r="L36" s="121"/>
    </x:row>
    <x:row r="37">
      <x:c r="A37" s="121"/>
      <x:c r="B37" s="121"/>
      <x:c r="C37" s="121"/>
      <x:c r="D37" s="121"/>
      <x:c r="E37" s="121"/>
      <x:c r="F37" s="121"/>
      <x:c r="G37" s="121"/>
      <x:c r="H37" s="121"/>
      <x:c r="I37" s="121"/>
      <x:c r="J37" s="121"/>
      <x:c r="K37" s="121"/>
      <x:c r="L37" s="121"/>
    </x:row>
    <x:row r="38">
      <x:c r="A38" s="121"/>
      <x:c r="B38" s="121"/>
      <x:c r="C38" s="121"/>
      <x:c r="D38" s="121"/>
      <x:c r="E38" s="121"/>
      <x:c r="F38" s="121"/>
      <x:c r="G38" s="121"/>
      <x:c r="H38" s="121"/>
      <x:c r="I38" s="121"/>
      <x:c r="J38" s="121"/>
      <x:c r="K38" s="121"/>
      <x:c r="L38" s="121"/>
    </x:row>
    <x:row r="39" ht="34" customHeight="1">
      <x:c r="A39" s="117" t="str">
        <x:v>Interpretation limit: the checkpoints are ordered prompts inside fixed scenarios. These results establish a strong monotonic pattern in hypothetical ratings, not a causal effect on observed chatbot use.</x:v>
      </x:c>
      <x:c r="B39" s="118"/>
      <x:c r="C39" s="118"/>
      <x:c r="D39" s="118"/>
      <x:c r="E39" s="118"/>
      <x:c r="F39" s="118"/>
      <x:c r="G39" s="118"/>
      <x:c r="H39" s="118"/>
      <x:c r="I39" s="118"/>
      <x:c r="J39" s="118"/>
      <x:c r="K39" s="118"/>
      <x:c r="L39" s="119"/>
    </x:row>
  </x:sheetData>
  <x:mergeCells>
    <x:mergeCell ref="A1:L1"/>
    <x:mergeCell ref="A2:L2"/>
    <x:mergeCell ref="A4:L4"/>
    <x:mergeCell ref="A9:L9"/>
    <x:mergeCell ref="A26:L26"/>
    <x:mergeCell ref="A39:L39"/>
  </x:mergeCells>
  <x:pageMargins left="0.7" right="0.7" top="0.75" bottom="0.75" header="0.3" footer="0.3"/>
  <x:drawing xmlns:r="http://schemas.openxmlformats.org/officeDocument/2006/relationships" r:id="R780603dba3b2444b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27" hidden="0" customWidth="1"/>
    <x:col min="6" max="6" width="20" hidden="0" customWidth="1"/>
    <x:col min="7" max="7" width="12" hidden="0" customWidth="1"/>
    <x:col min="8" max="8" width="16" hidden="0" customWidth="1"/>
    <x:col min="9" max="9" width="14" hidden="0" customWidth="1"/>
  </x:cols>
  <x:sheetData>
    <x:row r="1" ht="32" customHeight="1">
      <x:c r="A1" s="120" t="str">
        <x:v>H2 - Inconsistent vs. Always-Wrong Errors</x:v>
      </x:c>
      <x:c r="B1" s="120"/>
      <x:c r="C1" s="120"/>
      <x:c r="D1" s="120"/>
      <x:c r="E1" s="120"/>
      <x:c r="F1" s="120"/>
      <x:c r="G1" s="120"/>
      <x:c r="H1" s="120"/>
      <x:c r="I1" s="120"/>
      <x:c r="J1" s="120"/>
    </x:row>
    <x:row r="2" ht="30" customHeight="1">
      <x:c r="A2" s="111" t="str">
        <x:v>The two operationalizations disagree. Treat H2 as mixed and the current comparison as confounded.</x:v>
      </x:c>
      <x:c r="B2" s="111"/>
      <x:c r="C2" s="111"/>
      <x:c r="D2" s="111"/>
      <x:c r="E2" s="111"/>
      <x:c r="F2" s="111"/>
      <x:c r="G2" s="111"/>
      <x:c r="H2" s="111"/>
      <x:c r="I2" s="111"/>
      <x:c r="J2" s="111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</x:row>
    <x:row r="4" ht="22" customHeight="1">
      <x:c r="A4" s="122" t="str">
        <x:v>Paired final-checkpoint sensitivity</x:v>
      </x:c>
      <x:c r="B4" s="122"/>
      <x:c r="C4" s="122"/>
      <x:c r="D4" s="122"/>
      <x:c r="E4" s="122"/>
      <x:c r="F4" s="122"/>
      <x:c r="G4" s="122"/>
      <x:c r="H4" s="122"/>
      <x:c r="I4" s="122"/>
      <x:c r="J4" s="122"/>
    </x:row>
    <x:row r="5">
      <x:c r="A5" s="114" t="str">
        <x:v>Comparison</x:v>
      </x:c>
      <x:c r="B5" s="115" t="str">
        <x:v>N</x:v>
      </x:c>
      <x:c r="C5" s="115" t="str">
        <x:v>Mean B-A</x:v>
      </x:c>
      <x:c r="D5" s="115" t="str">
        <x:v>Median</x:v>
      </x:c>
      <x:c r="E5" s="115" t="str">
        <x:v>B higher</x:v>
      </x:c>
      <x:c r="F5" s="115" t="str">
        <x:v>Equal</x:v>
      </x:c>
      <x:c r="G5" s="115" t="str">
        <x:v>A higher</x:v>
      </x:c>
      <x:c r="H5" s="115" t="str">
        <x:v>Wilcoxon p</x:v>
      </x:c>
      <x:c r="I5" s="116" t="str">
        <x:v>Cohen dz</x:v>
      </x:c>
      <x:c r="J5" s="121"/>
    </x:row>
    <x:row r="6">
      <x:c r="A6" s="157" t="str">
        <x:v>Scenario B near end (5/10 wrong) minus Scenario A after 8 wrong</x:v>
      </x:c>
      <x:c r="B6" s="158" t="n">
        <x:v>181</x:v>
      </x:c>
      <x:c r="C6" s="159" t="n">
        <x:v>-0.18232044198895028</x:v>
      </x:c>
      <x:c r="D6" s="160" t="n">
        <x:v>0</x:v>
      </x:c>
      <x:c r="E6" s="158" t="n">
        <x:v>28</x:v>
      </x:c>
      <x:c r="F6" s="158" t="n">
        <x:v>101</x:v>
      </x:c>
      <x:c r="G6" s="158" t="n">
        <x:v>52</x:v>
      </x:c>
      <x:c r="H6" s="161" t="n">
        <x:v>0.009511962399051681</x:v>
      </x:c>
      <x:c r="I6" s="159" t="n">
        <x:v>-0.1742837014425032</x:v>
      </x:c>
      <x:c r="J6" s="121"/>
    </x:row>
    <x:row r="7">
      <x:c r="A7" s="121"/>
      <x:c r="B7" s="121"/>
      <x:c r="C7" s="121"/>
      <x:c r="D7" s="121"/>
      <x:c r="E7" s="121"/>
      <x:c r="F7" s="121"/>
      <x:c r="G7" s="121"/>
      <x:c r="H7" s="121"/>
      <x:c r="I7" s="121"/>
      <x:c r="J7" s="121"/>
    </x:row>
    <x:row r="8">
      <x:c r="A8" s="121"/>
      <x:c r="B8" s="121"/>
      <x:c r="C8" s="121"/>
      <x:c r="D8" s="121"/>
      <x:c r="E8" s="121"/>
      <x:c r="F8" s="121"/>
      <x:c r="G8" s="121"/>
      <x:c r="H8" s="121"/>
      <x:c r="I8" s="121"/>
      <x:c r="J8" s="121"/>
    </x:row>
    <x:row r="9" ht="22" customHeight="1">
      <x:c r="A9" s="122" t="str">
        <x:v>Forced-choice self-report</x:v>
      </x:c>
      <x:c r="B9" s="122"/>
      <x:c r="C9" s="122"/>
      <x:c r="D9" s="122"/>
      <x:c r="E9" s="122"/>
      <x:c r="F9" s="122"/>
      <x:c r="G9" s="122"/>
      <x:c r="H9" s="122"/>
      <x:c r="I9" s="122"/>
      <x:c r="J9" s="122"/>
    </x:row>
    <x:row r="10">
      <x:c r="A10" s="114" t="str">
        <x:v>Scenario B</x:v>
      </x:c>
      <x:c r="B10" s="115" t="str">
        <x:v>Scenario A</x:v>
      </x:c>
      <x:c r="C10" s="115" t="str">
        <x:v>Both equally</x:v>
      </x:c>
      <x:c r="D10" s="115" t="str">
        <x:v>Neither</x:v>
      </x:c>
      <x:c r="E10" s="115" t="str">
        <x:v>B share among A/B only</x:v>
      </x:c>
      <x:c r="F10" s="116" t="str">
        <x:v>Exact binomial p</x:v>
      </x:c>
      <x:c r="G10" s="121"/>
      <x:c r="H10" s="121"/>
      <x:c r="I10" s="121"/>
      <x:c r="J10" s="121"/>
    </x:row>
    <x:row r="11">
      <x:c r="A11" s="158" t="n">
        <x:v>60</x:v>
      </x:c>
      <x:c r="B11" s="158" t="n">
        <x:v>35</x:v>
      </x:c>
      <x:c r="C11" s="158" t="n">
        <x:v>75</x:v>
      </x:c>
      <x:c r="D11" s="158" t="n">
        <x:v>11</x:v>
      </x:c>
      <x:c r="E11" s="162" t="n">
        <x:v>0.631578947368421</x:v>
      </x:c>
      <x:c r="F11" s="161" t="n">
        <x:v>0.013378703026003939</x:v>
      </x:c>
      <x:c r="G11" s="121"/>
      <x:c r="H11" s="121"/>
      <x:c r="I11" s="121"/>
      <x:c r="J11" s="121"/>
    </x:row>
    <x:row r="12">
      <x:c r="A12" s="121"/>
      <x:c r="B12" s="121"/>
      <x:c r="C12" s="121"/>
      <x:c r="D12" s="121"/>
      <x:c r="E12" s="121"/>
      <x:c r="F12" s="121"/>
      <x:c r="G12" s="121"/>
      <x:c r="H12" s="121"/>
      <x:c r="I12" s="121"/>
      <x:c r="J12" s="121"/>
    </x:row>
    <x:row r="13">
      <x:c r="A13" s="121"/>
      <x:c r="B13" s="121"/>
      <x:c r="C13" s="121"/>
      <x:c r="D13" s="121"/>
      <x:c r="E13" s="121"/>
      <x:c r="F13" s="121"/>
      <x:c r="G13" s="121"/>
      <x:c r="H13" s="121"/>
      <x:c r="I13" s="121"/>
      <x:c r="J13" s="121"/>
    </x:row>
    <x:row r="14" ht="22" customHeight="1">
      <x:c r="A14" s="122" t="str">
        <x:v>Alignment of self-report with paired numeric ratings</x:v>
      </x:c>
      <x:c r="B14" s="122"/>
      <x:c r="C14" s="122"/>
      <x:c r="D14" s="122"/>
      <x:c r="E14" s="122"/>
      <x:c r="F14" s="122"/>
      <x:c r="G14" s="122"/>
      <x:c r="H14" s="122"/>
      <x:c r="I14" s="122"/>
      <x:c r="J14" s="122"/>
    </x:row>
    <x:row r="15">
      <x:c r="A15" s="114" t="str">
        <x:v>Self-reported failure type</x:v>
      </x:c>
      <x:c r="B15" s="115" t="str">
        <x:v>A higher</x:v>
      </x:c>
      <x:c r="C15" s="115" t="str">
        <x:v>B higher</x:v>
      </x:c>
      <x:c r="D15" s="116" t="str">
        <x:v>Equal</x:v>
      </x:c>
      <x:c r="E15" s="121"/>
      <x:c r="F15" s="121"/>
      <x:c r="G15" s="121"/>
      <x:c r="H15" s="121"/>
      <x:c r="I15" s="121"/>
      <x:c r="J15" s="121"/>
    </x:row>
    <x:row r="16">
      <x:c r="A16" s="107" t="str">
        <x:v>Both equally</x:v>
      </x:c>
      <x:c r="B16" s="142" t="str">
        <x:v>16</x:v>
      </x:c>
      <x:c r="C16" s="142" t="str">
        <x:v>11</x:v>
      </x:c>
      <x:c r="D16" s="142" t="str">
        <x:v>48</x:v>
      </x:c>
      <x:c r="E16" s="121"/>
      <x:c r="F16" s="121"/>
      <x:c r="G16" s="121"/>
      <x:c r="H16" s="121"/>
      <x:c r="I16" s="121"/>
      <x:c r="J16" s="121"/>
    </x:row>
    <x:row r="17">
      <x:c r="A17" s="108" t="str">
        <x:v>Neither frustrated me much</x:v>
      </x:c>
      <x:c r="B17" s="144" t="str">
        <x:v>1</x:v>
      </x:c>
      <x:c r="C17" s="144" t="str">
        <x:v>1</x:v>
      </x:c>
      <x:c r="D17" s="144" t="str">
        <x:v>9</x:v>
      </x:c>
      <x:c r="E17" s="121"/>
      <x:c r="F17" s="121"/>
      <x:c r="G17" s="121"/>
      <x:c r="H17" s="121"/>
      <x:c r="I17" s="121"/>
      <x:c r="J17" s="121"/>
    </x:row>
    <x:row r="18">
      <x:c r="A18" s="108" t="str">
        <x:v>Scenario A (always wrong)</x:v>
      </x:c>
      <x:c r="B18" s="144" t="str">
        <x:v>23</x:v>
      </x:c>
      <x:c r="C18" s="144" t="str">
        <x:v>5</x:v>
      </x:c>
      <x:c r="D18" s="144" t="str">
        <x:v>7</x:v>
      </x:c>
      <x:c r="E18" s="121"/>
      <x:c r="F18" s="121"/>
      <x:c r="G18" s="121"/>
      <x:c r="H18" s="121"/>
      <x:c r="I18" s="121"/>
      <x:c r="J18" s="121"/>
    </x:row>
    <x:row r="19">
      <x:c r="A19" s="109" t="str">
        <x:v>Scenario B (unpredictable errors)</x:v>
      </x:c>
      <x:c r="B19" s="146" t="str">
        <x:v>12</x:v>
      </x:c>
      <x:c r="C19" s="146" t="str">
        <x:v>11</x:v>
      </x:c>
      <x:c r="D19" s="146" t="str">
        <x:v>37</x:v>
      </x:c>
      <x:c r="E19" s="121"/>
      <x:c r="F19" s="121"/>
      <x:c r="G19" s="121"/>
      <x:c r="H19" s="121"/>
      <x:c r="I19" s="121"/>
      <x:c r="J19" s="121"/>
    </x:row>
    <x:row r="20">
      <x:c r="A20" s="121"/>
      <x:c r="B20" s="121"/>
      <x:c r="C20" s="121"/>
      <x:c r="D20" s="121"/>
      <x:c r="E20" s="121"/>
      <x:c r="F20" s="121"/>
      <x:c r="G20" s="121"/>
      <x:c r="H20" s="121"/>
      <x:c r="I20" s="121"/>
      <x:c r="J20" s="121"/>
    </x:row>
    <x:row r="21">
      <x:c r="A21" s="121"/>
      <x:c r="B21" s="121"/>
      <x:c r="C21" s="121"/>
      <x:c r="D21" s="121"/>
      <x:c r="E21" s="121"/>
      <x:c r="F21" s="121"/>
      <x:c r="G21" s="121"/>
      <x:c r="H21" s="121"/>
      <x:c r="I21" s="121"/>
      <x:c r="J21" s="121"/>
    </x:row>
    <x:row r="22" ht="34" customHeight="1">
      <x:c r="A22" s="136" t="str">
        <x:v>Why H2 is not cleanly identified: Scenario A has eight consecutive wrong answers; Scenario B has five wrong answers among ten and includes a leading phrase ('you never know what answer to trust'). Error rate, timing, total errors, consistency, wording, and fixed scenario order all vary together.</x:v>
      </x:c>
      <x:c r="B22" s="137"/>
      <x:c r="C22" s="137"/>
      <x:c r="D22" s="137"/>
      <x:c r="E22" s="137"/>
      <x:c r="F22" s="137"/>
      <x:c r="G22" s="137"/>
      <x:c r="H22" s="137"/>
      <x:c r="I22" s="137"/>
      <x:c r="J22" s="138"/>
    </x:row>
    <x:row r="23">
      <x:c r="A23" s="121"/>
      <x:c r="B23" s="121"/>
      <x:c r="C23" s="121"/>
      <x:c r="D23" s="121"/>
      <x:c r="E23" s="121"/>
      <x:c r="F23" s="121"/>
      <x:c r="G23" s="121"/>
      <x:c r="H23" s="121"/>
      <x:c r="I23" s="121"/>
      <x:c r="J23" s="121"/>
    </x:row>
    <x:row r="24" ht="34" customHeight="1">
      <x:c r="A24" s="117" t="str">
        <x:v>Recommended conclusion: forced-choice responses favored Scenario B, but the comparable final ratings were slightly higher for Scenario A (tiny paired effect). The hypothesis receives mixed evidence and needs a randomized, matched-error experiment.</x:v>
      </x:c>
      <x:c r="B24" s="118"/>
      <x:c r="C24" s="118"/>
      <x:c r="D24" s="118"/>
      <x:c r="E24" s="118"/>
      <x:c r="F24" s="118"/>
      <x:c r="G24" s="118"/>
      <x:c r="H24" s="118"/>
      <x:c r="I24" s="118"/>
      <x:c r="J24" s="119"/>
    </x:row>
  </x:sheetData>
  <x:mergeCells>
    <x:mergeCell ref="A1:J1"/>
    <x:mergeCell ref="A2:J2"/>
    <x:mergeCell ref="A4:J4"/>
    <x:mergeCell ref="A9:J9"/>
    <x:mergeCell ref="A14:J14"/>
    <x:mergeCell ref="A22:J22"/>
    <x:mergeCell ref="A24:J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9" hidden="0" customWidth="1"/>
    <x:col min="3" max="3" width="18" hidden="0" customWidth="1"/>
    <x:col min="4" max="4" width="16" hidden="0" customWidth="1"/>
    <x:col min="5" max="5" width="17" hidden="0" customWidth="1"/>
    <x:col min="6" max="6" width="15" hidden="0" customWidth="1"/>
    <x:col min="7" max="7" width="20" hidden="0" customWidth="1"/>
    <x:col min="8" max="8" width="16" hidden="0" customWidth="1"/>
    <x:col min="9" max="9" width="14" hidden="0" customWidth="1"/>
    <x:col min="10" max="10" width="16" hidden="0" customWidth="1"/>
    <x:col min="11" max="11" width="18" hidden="0" customWidth="1"/>
  </x:cols>
  <x:sheetData>
    <x:row r="1" ht="32" customHeight="1">
      <x:c r="A1" s="120" t="str">
        <x:v>H3 - Frustration and Attention</x:v>
      </x:c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</x:row>
    <x:row r="2" ht="30" customHeight="1">
      <x:c r="A2" s="111" t="str">
        <x:v>Scenario-based frustration predicts whether attention changes, but the data do not establish a shift toward more careful verification.</x:v>
      </x:c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  <x:c r="K3" s="121"/>
      <x:c r="L3" s="121"/>
    </x:row>
    <x:row r="4" ht="22" customHeight="1">
      <x:c r="A4" s="122" t="str">
        <x:v>Binary models: any attention change vs. no change</x:v>
      </x:c>
      <x:c r="B4" s="122"/>
      <x:c r="C4" s="122"/>
      <x:c r="D4" s="122"/>
      <x:c r="E4" s="122"/>
      <x:c r="F4" s="122"/>
      <x:c r="G4" s="122"/>
      <x:c r="H4" s="122"/>
      <x:c r="I4" s="122"/>
      <x:c r="J4" s="122"/>
      <x:c r="K4" s="122"/>
      <x:c r="L4" s="122"/>
    </x:row>
    <x:row r="5">
      <x:c r="A5" s="114" t="str">
        <x:v>Predictor</x:v>
      </x:c>
      <x:c r="B5" s="115" t="str">
        <x:v>N</x:v>
      </x:c>
      <x:c r="C5" s="115" t="str">
        <x:v>Changed</x:v>
      </x:c>
      <x:c r="D5" s="115" t="str">
        <x:v>Slope</x:v>
      </x:c>
      <x:c r="E5" s="115" t="str">
        <x:v>SE</x:v>
      </x:c>
      <x:c r="F5" s="115" t="str">
        <x:v>p</x:v>
      </x:c>
      <x:c r="G5" s="115" t="str">
        <x:v>OR / point</x:v>
      </x:c>
      <x:c r="H5" s="115" t="str">
        <x:v>95% CI low</x:v>
      </x:c>
      <x:c r="I5" s="115" t="str">
        <x:v>95% CI high</x:v>
      </x:c>
      <x:c r="J5" s="115" t="str">
        <x:v>McFadden R2</x:v>
      </x:c>
      <x:c r="K5" s="116" t="str">
        <x:v>Conclusion</x:v>
      </x:c>
      <x:c r="L5" s="121"/>
    </x:row>
    <x:row r="6">
      <x:c r="A6" s="107" t="str">
        <x:v>frustration_composite</x:v>
      </x:c>
      <x:c r="B6" s="142" t="n">
        <x:v>181</x:v>
      </x:c>
      <x:c r="C6" s="142" t="n">
        <x:v>154</x:v>
      </x:c>
      <x:c r="D6" s="130" t="n">
        <x:v>0.32864546995850674</x:v>
      </x:c>
      <x:c r="E6" s="130" t="n">
        <x:v>0.18097110112641832</x:v>
      </x:c>
      <x:c r="F6" s="131" t="n">
        <x:v>0.06936871898714303</x:v>
      </x:c>
      <x:c r="G6" s="130" t="n">
        <x:v>1.3890852958115891</x:v>
      </x:c>
      <x:c r="H6" s="130" t="n">
        <x:v>0.9742786886886975</x:v>
      </x:c>
      <x:c r="I6" s="130" t="n">
        <x:v>1.9804989901164762</x:v>
      </x:c>
      <x:c r="J6" s="130" t="n">
        <x:v>0.022260488871603812</x:v>
      </x:c>
      <x:c r="K6" s="107" t="str">
        <x:v>Not significant</x:v>
      </x:c>
      <x:c r="L6" s="121"/>
    </x:row>
    <x:row r="7">
      <x:c r="A7" s="108" t="str">
        <x:v>A8</x:v>
      </x:c>
      <x:c r="B7" s="144" t="n">
        <x:v>181</x:v>
      </x:c>
      <x:c r="C7" s="144" t="n">
        <x:v>154</x:v>
      </x:c>
      <x:c r="D7" s="132" t="n">
        <x:v>0.6484565638793087</x:v>
      </x:c>
      <x:c r="E7" s="132" t="n">
        <x:v>0.12551490411346897</x:v>
      </x:c>
      <x:c r="F7" s="133" t="n">
        <x:v>2.38682767752088e-7</x:v>
      </x:c>
      <x:c r="G7" s="132" t="n">
        <x:v>1.9125865945303062</x:v>
      </x:c>
      <x:c r="H7" s="132" t="n">
        <x:v>1.4954801888375073</x:v>
      </x:c>
      <x:c r="I7" s="132" t="n">
        <x:v>2.446028712971801</x:v>
      </x:c>
      <x:c r="J7" s="132" t="n">
        <x:v>0.21093214131007476</x:v>
      </x:c>
      <x:c r="K7" s="108" t="str">
        <x:v>Association</x:v>
      </x:c>
      <x:c r="L7" s="121"/>
    </x:row>
    <x:row r="8">
      <x:c r="A8" s="108" t="str">
        <x:v>B5of10</x:v>
      </x:c>
      <x:c r="B8" s="144" t="n">
        <x:v>181</x:v>
      </x:c>
      <x:c r="C8" s="144" t="n">
        <x:v>154</x:v>
      </x:c>
      <x:c r="D8" s="132" t="n">
        <x:v>0.5193323277982876</x:v>
      </x:c>
      <x:c r="E8" s="132" t="n">
        <x:v>0.1302575519846488</x:v>
      </x:c>
      <x:c r="F8" s="133" t="n">
        <x:v>0.00006692383504012529</x:v>
      </x:c>
      <x:c r="G8" s="132" t="n">
        <x:v>1.6809049814235761</x:v>
      </x:c>
      <x:c r="H8" s="132" t="n">
        <x:v>1.3021640390556193</x:v>
      </x:c>
      <x:c r="I8" s="132" t="n">
        <x:v>2.169804626630386</x:v>
      </x:c>
      <x:c r="J8" s="132" t="n">
        <x:v>0.11082826191984019</x:v>
      </x:c>
      <x:c r="K8" s="108" t="str">
        <x:v>Association</x:v>
      </x:c>
      <x:c r="L8" s="121"/>
    </x:row>
    <x:row r="9">
      <x:c r="A9" s="108" t="str">
        <x:v>terminal_scenario_mean</x:v>
      </x:c>
      <x:c r="B9" s="144" t="n">
        <x:v>181</x:v>
      </x:c>
      <x:c r="C9" s="144" t="n">
        <x:v>154</x:v>
      </x:c>
      <x:c r="D9" s="132" t="n">
        <x:v>0.650622062321916</x:v>
      </x:c>
      <x:c r="E9" s="132" t="n">
        <x:v>0.13548818701084056</x:v>
      </x:c>
      <x:c r="F9" s="133" t="n">
        <x:v>0.0000015704359300756446</x:v>
      </x:c>
      <x:c r="G9" s="132" t="n">
        <x:v>1.916732785486886</x:v>
      </x:c>
      <x:c r="H9" s="132" t="n">
        <x:v>1.4697101666116734</x:v>
      </x:c>
      <x:c r="I9" s="132" t="n">
        <x:v>2.499720458102421</x:v>
      </x:c>
      <x:c r="J9" s="132" t="n">
        <x:v>0.17534304203848972</x:v>
      </x:c>
      <x:c r="K9" s="108" t="str">
        <x:v>Association</x:v>
      </x:c>
      <x:c r="L9" s="121"/>
    </x:row>
    <x:row r="10">
      <x:c r="A10" s="109" t="str">
        <x:v>all_scenario_mean</x:v>
      </x:c>
      <x:c r="B10" s="146" t="n">
        <x:v>181</x:v>
      </x:c>
      <x:c r="C10" s="146" t="n">
        <x:v>154</x:v>
      </x:c>
      <x:c r="D10" s="134" t="n">
        <x:v>0.5690109636326446</x:v>
      </x:c>
      <x:c r="E10" s="134" t="n">
        <x:v>0.15963053377302122</x:v>
      </x:c>
      <x:c r="F10" s="135" t="n">
        <x:v>0.0003644814528849029</x:v>
      </x:c>
      <x:c r="G10" s="134" t="n">
        <x:v>1.766519035580787</x:v>
      </x:c>
      <x:c r="H10" s="134" t="n">
        <x:v>1.2919272780503328</x:v>
      </x:c>
      <x:c r="I10" s="134" t="n">
        <x:v>2.4154529098407167</x:v>
      </x:c>
      <x:c r="J10" s="134" t="n">
        <x:v>0.09120620595507634</x:v>
      </x:c>
      <x:c r="K10" s="109" t="str">
        <x:v>Association</x:v>
      </x:c>
      <x:c r="L10" s="121"/>
    </x:row>
    <x:row r="11">
      <x:c r="A11" s="121"/>
      <x:c r="B11" s="121"/>
      <x:c r="C11" s="121"/>
      <x:c r="D11" s="121"/>
      <x:c r="E11" s="121"/>
      <x:c r="F11" s="121"/>
      <x:c r="G11" s="121"/>
      <x:c r="H11" s="121"/>
      <x:c r="I11" s="121"/>
      <x:c r="J11" s="121"/>
      <x:c r="K11" s="121"/>
      <x:c r="L11" s="121"/>
    </x:row>
    <x:row r="12">
      <x:c r="A12" s="121"/>
      <x:c r="B12" s="121"/>
      <x:c r="C12" s="121"/>
      <x:c r="D12" s="121"/>
      <x:c r="E12" s="121"/>
      <x:c r="F12" s="121"/>
      <x:c r="G12" s="121"/>
      <x:c r="H12" s="121"/>
      <x:c r="I12" s="121"/>
      <x:c r="J12" s="121"/>
      <x:c r="K12" s="121"/>
      <x:c r="L12" s="121"/>
    </x:row>
    <x:row r="13" ht="22" customHeight="1">
      <x:c r="A13" s="122" t="str">
        <x:v>Direction and group pattern</x:v>
      </x:c>
      <x:c r="B13" s="122"/>
      <x:c r="C13" s="122"/>
      <x:c r="D13" s="122"/>
      <x:c r="E13" s="122"/>
      <x:c r="F13" s="122"/>
      <x:c r="G13" s="122"/>
      <x:c r="H13" s="122"/>
      <x:c r="I13" s="122"/>
      <x:c r="J13" s="122"/>
      <x:c r="K13" s="122"/>
      <x:c r="L13" s="122"/>
    </x:row>
    <x:row r="14">
      <x:c r="A14" s="114" t="str">
        <x:v>Analysis</x:v>
      </x:c>
      <x:c r="B14" s="115" t="str">
        <x:v>Statistic</x:v>
      </x:c>
      <x:c r="C14" s="115" t="str">
        <x:v>p</x:v>
      </x:c>
      <x:c r="D14" s="116" t="str">
        <x:v>Interpretation</x:v>
      </x:c>
      <x:c r="E14" s="121"/>
      <x:c r="F14" s="121"/>
      <x:c r="G14" s="121"/>
      <x:c r="H14" s="121"/>
      <x:c r="I14" s="121"/>
      <x:c r="J14" s="121"/>
      <x:c r="K14" s="121"/>
      <x:c r="L14" s="121"/>
    </x:row>
    <x:row r="15">
      <x:c r="A15" s="107" t="str">
        <x:v>Composite vs. ordinal direction (1=Much less ... 4=More carefully)</x:v>
      </x:c>
      <x:c r="B15" s="130" t="n">
        <x:v>-0.2275053968006806</x:v>
      </x:c>
      <x:c r="C15" s="131" t="n">
        <x:v>0.002069593356031728</x:v>
      </x:c>
      <x:c r="D15" s="107" t="str">
        <x:v>Negative association: higher composite frustration aligns with less-careful categories.</x:v>
      </x:c>
      <x:c r="E15" s="121"/>
      <x:c r="F15" s="121"/>
      <x:c r="G15" s="121"/>
      <x:c r="H15" s="121"/>
      <x:c r="I15" s="121"/>
      <x:c r="J15" s="121"/>
      <x:c r="K15" s="121"/>
      <x:c r="L15" s="121"/>
    </x:row>
    <x:row r="16">
      <x:c r="A16" s="109" t="str">
        <x:v>Composite across four attention categories</x:v>
      </x:c>
      <x:c r="B16" s="134" t="n">
        <x:v>21.53018779566671</x:v>
      </x:c>
      <x:c r="C16" s="135" t="n">
        <x:v>0.00008168956786226937</x:v>
      </x:c>
      <x:c r="D16" s="109" t="str">
        <x:v>Group distributions differ; this is not evidence of a one-direction verification shift.</x:v>
      </x:c>
      <x:c r="E16" s="121"/>
      <x:c r="F16" s="121"/>
      <x:c r="G16" s="121"/>
      <x:c r="H16" s="121"/>
      <x:c r="I16" s="121"/>
      <x:c r="J16" s="121"/>
      <x:c r="K16" s="121"/>
      <x:c r="L16" s="121"/>
    </x:row>
    <x:row r="17">
      <x:c r="A17" s="121"/>
      <x:c r="B17" s="121"/>
      <x:c r="C17" s="121"/>
      <x:c r="D17" s="121"/>
      <x:c r="E17" s="121"/>
      <x:c r="F17" s="121"/>
      <x:c r="G17" s="121"/>
      <x:c r="H17" s="121"/>
      <x:c r="I17" s="121"/>
      <x:c r="J17" s="121"/>
      <x:c r="K17" s="121"/>
      <x:c r="L17" s="121"/>
    </x:row>
    <x:row r="18">
      <x:c r="A18" s="121"/>
      <x:c r="B18" s="121"/>
      <x:c r="C18" s="121"/>
      <x:c r="D18" s="121"/>
      <x:c r="E18" s="121"/>
      <x:c r="F18" s="121"/>
      <x:c r="G18" s="121"/>
      <x:c r="H18" s="121"/>
      <x:c r="I18" s="121"/>
      <x:c r="J18" s="121"/>
      <x:c r="K18" s="121"/>
      <x:c r="L18" s="121"/>
    </x:row>
    <x:row r="19">
      <x:c r="A19" s="114" t="str">
        <x:v>Attention response</x:v>
      </x:c>
      <x:c r="B19" s="115" t="str">
        <x:v>N</x:v>
      </x:c>
      <x:c r="C19" s="115" t="str">
        <x:v>Composite mean</x:v>
      </x:c>
      <x:c r="D19" s="115" t="str">
        <x:v>Composite SD</x:v>
      </x:c>
      <x:c r="E19" s="115" t="str">
        <x:v>Terminal mean</x:v>
      </x:c>
      <x:c r="F19" s="115" t="str">
        <x:v>Terminal SD</x:v>
      </x:c>
      <x:c r="G19" s="115" t="str">
        <x:v>All-scenario mean</x:v>
      </x:c>
      <x:c r="H19" s="116" t="str">
        <x:v>Scenario SD</x:v>
      </x:c>
      <x:c r="I19" s="121"/>
      <x:c r="J19" s="121"/>
      <x:c r="K19" s="121"/>
      <x:c r="L19" s="121"/>
    </x:row>
    <x:row r="20">
      <x:c r="A20" s="107" t="str">
        <x:v>Much less carefully — I start skimming</x:v>
      </x:c>
      <x:c r="B20" s="142" t="n">
        <x:v>29</x:v>
      </x:c>
      <x:c r="C20" s="130" t="n">
        <x:v>5.5793103448275865</x:v>
      </x:c>
      <x:c r="D20" s="130" t="n">
        <x:v>1.0019193403323543</x:v>
      </x:c>
      <x:c r="E20" s="130" t="n">
        <x:v>6.275862068965517</x:v>
      </x:c>
      <x:c r="F20" s="130" t="n">
        <x:v>1.2217245341886294</x:v>
      </x:c>
      <x:c r="G20" s="130" t="n">
        <x:v>5.315270935960591</x:v>
      </x:c>
      <x:c r="H20" s="130" t="n">
        <x:v>0.9669308470068245</x:v>
      </x:c>
      <x:c r="I20" s="121"/>
      <x:c r="J20" s="121"/>
      <x:c r="K20" s="121"/>
      <x:c r="L20" s="121"/>
    </x:row>
    <x:row r="21">
      <x:c r="A21" s="108" t="str">
        <x:v>More carefully — I review answers more closely</x:v>
      </x:c>
      <x:c r="B21" s="144" t="n">
        <x:v>106</x:v>
      </x:c>
      <x:c r="C21" s="132" t="n">
        <x:v>4.490566037735849</x:v>
      </x:c>
      <x:c r="D21" s="132" t="n">
        <x:v>1.160010533768822</x:v>
      </x:c>
      <x:c r="E21" s="132" t="n">
        <x:v>5.877358490566038</x:v>
      </x:c>
      <x:c r="F21" s="132" t="n">
        <x:v>1.0708503980586934</x:v>
      </x:c>
      <x:c r="G21" s="132" t="n">
        <x:v>4.5822102425876015</x:v>
      </x:c>
      <x:c r="H21" s="132" t="n">
        <x:v>1.1673727886499197</x:v>
      </x:c>
      <x:c r="I21" s="121"/>
      <x:c r="J21" s="121"/>
      <x:c r="K21" s="121"/>
      <x:c r="L21" s="121"/>
    </x:row>
    <x:row r="22">
      <x:c r="A22" s="108" t="str">
        <x:v>No change</x:v>
      </x:c>
      <x:c r="B22" s="144" t="n">
        <x:v>27</x:v>
      </x:c>
      <x:c r="C22" s="132" t="n">
        <x:v>4.2592592592592595</x:v>
      </x:c>
      <x:c r="D22" s="132" t="n">
        <x:v>1.246305080338018</x:v>
      </x:c>
      <x:c r="E22" s="132" t="n">
        <x:v>4.166666666666667</x:v>
      </x:c>
      <x:c r="F22" s="132" t="n">
        <x:v>2.449489742783178</x:v>
      </x:c>
      <x:c r="G22" s="132" t="n">
        <x:v>3.6402116402116405</x:v>
      </x:c>
      <x:c r="H22" s="132" t="n">
        <x:v>2.123860991398804</x:v>
      </x:c>
      <x:c r="I22" s="121"/>
      <x:c r="J22" s="121"/>
      <x:c r="K22" s="121"/>
      <x:c r="L22" s="121"/>
    </x:row>
    <x:row r="23">
      <x:c r="A23" s="109" t="str">
        <x:v>Slightly less carefully</x:v>
      </x:c>
      <x:c r="B23" s="146" t="n">
        <x:v>19</x:v>
      </x:c>
      <x:c r="C23" s="134" t="n">
        <x:v>4.631578947368421</x:v>
      </x:c>
      <x:c r="D23" s="134" t="n">
        <x:v>0.8253299889397421</x:v>
      </x:c>
      <x:c r="E23" s="134" t="n">
        <x:v>5.842105263157895</x:v>
      </x:c>
      <x:c r="F23" s="134" t="n">
        <x:v>1.0145145470035761</x:v>
      </x:c>
      <x:c r="G23" s="134" t="n">
        <x:v>4.593984962406015</x:v>
      </x:c>
      <x:c r="H23" s="134" t="n">
        <x:v>0.9346724575678423</x:v>
      </x:c>
      <x:c r="I23" s="121"/>
      <x:c r="J23" s="121"/>
      <x:c r="K23" s="121"/>
      <x:c r="L23" s="121"/>
    </x:row>
    <x:row r="24">
      <x:c r="A24" s="121"/>
      <x:c r="B24" s="121"/>
      <x:c r="C24" s="121"/>
      <x:c r="D24" s="121"/>
      <x:c r="E24" s="121"/>
      <x:c r="F24" s="121"/>
      <x:c r="G24" s="121"/>
      <x:c r="H24" s="121"/>
      <x:c r="I24" s="121"/>
      <x:c r="J24" s="121"/>
      <x:c r="K24" s="121"/>
      <x:c r="L24" s="121"/>
    </x:row>
    <x:row r="25">
      <x:c r="A25" s="121"/>
      <x:c r="B25" s="121"/>
      <x:c r="C25" s="121"/>
      <x:c r="D25" s="121"/>
      <x:c r="E25" s="121"/>
      <x:c r="F25" s="121"/>
      <x:c r="G25" s="121"/>
      <x:c r="H25" s="121"/>
      <x:c r="I25" s="121"/>
      <x:c r="J25" s="121"/>
      <x:c r="K25" s="121"/>
      <x:c r="L25" s="121"/>
    </x:row>
    <x:row r="26" ht="34" customHeight="1">
      <x:c r="A26" s="136" t="str">
        <x:v>Measurement warning: the attention item offers one broad 'more carefully' option, two intensity levels for less careful, and no slightly/much-more symmetry. It also asks what happens 'as AI makes more mistakes.' Category proportions should not be treated as an unbiased behavioral endpoint.</x:v>
      </x:c>
      <x:c r="B26" s="137"/>
      <x:c r="C26" s="137"/>
      <x:c r="D26" s="137"/>
      <x:c r="E26" s="137"/>
      <x:c r="F26" s="137"/>
      <x:c r="G26" s="137"/>
      <x:c r="H26" s="137"/>
      <x:c r="I26" s="137"/>
      <x:c r="J26" s="137"/>
      <x:c r="K26" s="137"/>
      <x:c r="L26" s="138"/>
    </x:row>
    <x:row r="27">
      <x:c r="A27" s="121"/>
      <x:c r="B27" s="121"/>
      <x:c r="C27" s="121"/>
      <x:c r="D27" s="121"/>
      <x:c r="E27" s="121"/>
      <x:c r="F27" s="121"/>
      <x:c r="G27" s="121"/>
      <x:c r="H27" s="121"/>
      <x:c r="I27" s="121"/>
      <x:c r="J27" s="121"/>
      <x:c r="K27" s="121"/>
      <x:c r="L27" s="121"/>
    </x:row>
    <x:row r="28" ht="34" customHeight="1">
      <x:c r="A28" s="117" t="str">
        <x:v>Recommended conclusion: H3 is partially supported only for any self-reported attention change. Direct observation (reading time, eye tracking, source checks, clicks, or answer verification) is required to test a verification shift.</x:v>
      </x:c>
      <x:c r="B28" s="118"/>
      <x:c r="C28" s="118"/>
      <x:c r="D28" s="118"/>
      <x:c r="E28" s="118"/>
      <x:c r="F28" s="118"/>
      <x:c r="G28" s="118"/>
      <x:c r="H28" s="118"/>
      <x:c r="I28" s="118"/>
      <x:c r="J28" s="118"/>
      <x:c r="K28" s="118"/>
      <x:c r="L28" s="119"/>
    </x:row>
  </x:sheetData>
  <x:mergeCells>
    <x:mergeCell ref="A1:L1"/>
    <x:mergeCell ref="A2:L2"/>
    <x:mergeCell ref="A4:L4"/>
    <x:mergeCell ref="A13:L13"/>
    <x:mergeCell ref="A26:L26"/>
    <x:mergeCell ref="A28:L2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0" hidden="0" customWidth="1"/>
    <x:col min="4" max="4" width="16" hidden="0" customWidth="1"/>
    <x:col min="5" max="5" width="84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</x:cols>
  <x:sheetData>
    <x:row r="1" ht="32" customHeight="1">
      <x:c r="A1" s="120" t="str">
        <x:v>H4 - Frustration and Intended Next Action</x:v>
      </x:c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</x:row>
    <x:row r="2" ht="30" customHeight="1">
      <x:c r="A2" s="111" t="str">
        <x:v>The grouped 'switch-away' endpoint is not predicted by frustration. Action categories are heterogeneous and should be modeled separately.</x:v>
      </x:c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  <x:c r="K3" s="121"/>
      <x:c r="L3" s="121"/>
    </x:row>
    <x:row r="4" ht="22" customHeight="1">
      <x:c r="A4" s="122" t="str">
        <x:v>Binary models: switch-away vs. retry/rephrase</x:v>
      </x:c>
      <x:c r="B4" s="122"/>
      <x:c r="C4" s="122"/>
      <x:c r="D4" s="122"/>
      <x:c r="E4" s="122"/>
      <x:c r="F4" s="122"/>
      <x:c r="G4" s="122"/>
      <x:c r="H4" s="122"/>
      <x:c r="I4" s="122"/>
      <x:c r="J4" s="122"/>
      <x:c r="K4" s="122"/>
      <x:c r="L4" s="122"/>
    </x:row>
    <x:row r="5">
      <x:c r="A5" s="114" t="str">
        <x:v>Predictor</x:v>
      </x:c>
      <x:c r="B5" s="115" t="str">
        <x:v>N</x:v>
      </x:c>
      <x:c r="C5" s="115" t="str">
        <x:v>Switch-away</x:v>
      </x:c>
      <x:c r="D5" s="115" t="str">
        <x:v>Slope</x:v>
      </x:c>
      <x:c r="E5" s="115" t="str">
        <x:v>SE</x:v>
      </x:c>
      <x:c r="F5" s="115" t="str">
        <x:v>p</x:v>
      </x:c>
      <x:c r="G5" s="115" t="str">
        <x:v>OR / point</x:v>
      </x:c>
      <x:c r="H5" s="115" t="str">
        <x:v>95% CI low</x:v>
      </x:c>
      <x:c r="I5" s="115" t="str">
        <x:v>95% CI high</x:v>
      </x:c>
      <x:c r="J5" s="115" t="str">
        <x:v>McFadden R2</x:v>
      </x:c>
      <x:c r="K5" s="116" t="str">
        <x:v>Conclusion</x:v>
      </x:c>
      <x:c r="L5" s="121"/>
    </x:row>
    <x:row r="6">
      <x:c r="A6" s="107" t="str">
        <x:v>frustration_composite</x:v>
      </x:c>
      <x:c r="B6" s="142" t="n">
        <x:v>181</x:v>
      </x:c>
      <x:c r="C6" s="142" t="n">
        <x:v>108</x:v>
      </x:c>
      <x:c r="D6" s="130" t="n">
        <x:v>0.07384702017203996</x:v>
      </x:c>
      <x:c r="E6" s="130" t="n">
        <x:v>0.12817189024578607</x:v>
      </x:c>
      <x:c r="F6" s="131" t="n">
        <x:v>0.5645096552798343</x:v>
      </x:c>
      <x:c r="G6" s="130" t="n">
        <x:v>1.0766420883758885</x:v>
      </x:c>
      <x:c r="H6" s="130" t="n">
        <x:v>0.8374699598938313</x:v>
      </x:c>
      <x:c r="I6" s="130" t="n">
        <x:v>1.3841191230421501</x:v>
      </x:c>
      <x:c r="J6" s="130" t="n">
        <x:v>0.0013626367961963037</x:v>
      </x:c>
      <x:c r="K6" s="107" t="str">
        <x:v>Not significant</x:v>
      </x:c>
      <x:c r="L6" s="121"/>
    </x:row>
    <x:row r="7">
      <x:c r="A7" s="108" t="str">
        <x:v>A8</x:v>
      </x:c>
      <x:c r="B7" s="144" t="n">
        <x:v>181</x:v>
      </x:c>
      <x:c r="C7" s="144" t="n">
        <x:v>108</x:v>
      </x:c>
      <x:c r="D7" s="132" t="n">
        <x:v>-0.09695332679669853</x:v>
      </x:c>
      <x:c r="E7" s="132" t="n">
        <x:v>0.09349431634546616</x:v>
      </x:c>
      <x:c r="F7" s="133" t="n">
        <x:v>0.2997372491629191</x:v>
      </x:c>
      <x:c r="G7" s="132" t="n">
        <x:v>0.9075983656677743</x:v>
      </x:c>
      <x:c r="H7" s="132" t="n">
        <x:v>0.7556309473809895</x:v>
      </x:c>
      <x:c r="I7" s="132" t="n">
        <x:v>1.0901284498972321</x:v>
      </x:c>
      <x:c r="J7" s="132" t="n">
        <x:v>0.004528487114767277</x:v>
      </x:c>
      <x:c r="K7" s="108" t="str">
        <x:v>Not significant</x:v>
      </x:c>
      <x:c r="L7" s="121"/>
    </x:row>
    <x:row r="8">
      <x:c r="A8" s="108" t="str">
        <x:v>B5of10</x:v>
      </x:c>
      <x:c r="B8" s="144" t="n">
        <x:v>181</x:v>
      </x:c>
      <x:c r="C8" s="144" t="n">
        <x:v>108</x:v>
      </x:c>
      <x:c r="D8" s="132" t="n">
        <x:v>0.04128514089867824</x:v>
      </x:c>
      <x:c r="E8" s="132" t="n">
        <x:v>0.0994599648310362</x:v>
      </x:c>
      <x:c r="F8" s="133" t="n">
        <x:v>0.6780737815324015</x:v>
      </x:c>
      <x:c r="G8" s="132" t="n">
        <x:v>1.0421492225492361</x:v>
      </x:c>
      <x:c r="H8" s="132" t="n">
        <x:v>0.8575666387186014</x:v>
      </x:c>
      <x:c r="I8" s="132" t="n">
        <x:v>1.2664613489195653</x:v>
      </x:c>
      <x:c r="J8" s="132" t="n">
        <x:v>0.0007038796290499416</x:v>
      </x:c>
      <x:c r="K8" s="108" t="str">
        <x:v>Not significant</x:v>
      </x:c>
      <x:c r="L8" s="121"/>
    </x:row>
    <x:row r="9">
      <x:c r="A9" s="108" t="str">
        <x:v>terminal_scenario_mean</x:v>
      </x:c>
      <x:c r="B9" s="144" t="n">
        <x:v>181</x:v>
      </x:c>
      <x:c r="C9" s="144" t="n">
        <x:v>108</x:v>
      </x:c>
      <x:c r="D9" s="132" t="n">
        <x:v>-0.037418689994012454</x:v>
      </x:c>
      <x:c r="E9" s="132" t="n">
        <x:v>0.10119713489915148</x:v>
      </x:c>
      <x:c r="F9" s="133" t="n">
        <x:v>0.7115610461828107</x:v>
      </x:c>
      <x:c r="G9" s="132" t="n">
        <x:v>0.9632727382487719</x:v>
      </x:c>
      <x:c r="H9" s="132" t="n">
        <x:v>0.789966235430098</x:v>
      </x:c>
      <x:c r="I9" s="132" t="n">
        <x:v>1.1746000355927795</x:v>
      </x:c>
      <x:c r="J9" s="132" t="n">
        <x:v>0.0005639438925146845</x:v>
      </x:c>
      <x:c r="K9" s="108" t="str">
        <x:v>Not significant</x:v>
      </x:c>
      <x:c r="L9" s="121"/>
    </x:row>
    <x:row r="10">
      <x:c r="A10" s="109" t="str">
        <x:v>all_scenario_mean</x:v>
      </x:c>
      <x:c r="B10" s="146" t="n">
        <x:v>181</x:v>
      </x:c>
      <x:c r="C10" s="146" t="n">
        <x:v>108</x:v>
      </x:c>
      <x:c r="D10" s="134" t="n">
        <x:v>0.12225230980043901</x:v>
      </x:c>
      <x:c r="E10" s="134" t="n">
        <x:v>0.11068825530944702</x:v>
      </x:c>
      <x:c r="F10" s="135" t="n">
        <x:v>0.26938753795962533</x:v>
      </x:c>
      <x:c r="G10" s="134" t="n">
        <x:v>1.1300391857755145</x:v>
      </x:c>
      <x:c r="H10" s="134" t="n">
        <x:v>0.9096488158486442</x:v>
      </x:c>
      <x:c r="I10" s="134" t="n">
        <x:v>1.4038258931792698</x:v>
      </x:c>
      <x:c r="J10" s="134" t="n">
        <x:v>0.005027091499955172</x:v>
      </x:c>
      <x:c r="K10" s="109" t="str">
        <x:v>Not significant</x:v>
      </x:c>
      <x:c r="L10" s="121"/>
    </x:row>
    <x:row r="11">
      <x:c r="A11" s="121"/>
      <x:c r="B11" s="121"/>
      <x:c r="C11" s="121"/>
      <x:c r="D11" s="121"/>
      <x:c r="E11" s="121"/>
      <x:c r="F11" s="121"/>
      <x:c r="G11" s="121"/>
      <x:c r="H11" s="121"/>
      <x:c r="I11" s="121"/>
      <x:c r="J11" s="121"/>
      <x:c r="K11" s="121"/>
      <x:c r="L11" s="121"/>
    </x:row>
    <x:row r="12">
      <x:c r="A12" s="121"/>
      <x:c r="B12" s="121"/>
      <x:c r="C12" s="121"/>
      <x:c r="D12" s="121"/>
      <x:c r="E12" s="121"/>
      <x:c r="F12" s="121"/>
      <x:c r="G12" s="121"/>
      <x:c r="H12" s="121"/>
      <x:c r="I12" s="121"/>
      <x:c r="J12" s="121"/>
      <x:c r="K12" s="121"/>
      <x:c r="L12" s="121"/>
    </x:row>
    <x:row r="13" ht="22" customHeight="1">
      <x:c r="A13" s="122" t="str">
        <x:v>First-action categories</x:v>
      </x:c>
      <x:c r="B13" s="122"/>
      <x:c r="C13" s="122"/>
      <x:c r="D13" s="122"/>
      <x:c r="E13" s="122"/>
      <x:c r="F13" s="122"/>
      <x:c r="G13" s="122"/>
      <x:c r="H13" s="122"/>
      <x:c r="I13" s="122"/>
      <x:c r="J13" s="122"/>
      <x:c r="K13" s="122"/>
      <x:c r="L13" s="122"/>
    </x:row>
    <x:row r="14">
      <x:c r="A14" s="114" t="str">
        <x:v>First action</x:v>
      </x:c>
      <x:c r="B14" s="115" t="str">
        <x:v>N</x:v>
      </x:c>
      <x:c r="C14" s="115" t="str">
        <x:v>Composite mean</x:v>
      </x:c>
      <x:c r="D14" s="115" t="str">
        <x:v>Composite SD</x:v>
      </x:c>
      <x:c r="E14" s="115" t="str">
        <x:v>Terminal mean</x:v>
      </x:c>
      <x:c r="F14" s="116" t="str">
        <x:v>Terminal SD</x:v>
      </x:c>
      <x:c r="G14" s="121"/>
      <x:c r="H14" s="121"/>
      <x:c r="I14" s="121"/>
      <x:c r="J14" s="121"/>
      <x:c r="K14" s="121"/>
      <x:c r="L14" s="121"/>
    </x:row>
    <x:row r="15">
      <x:c r="A15" s="107" t="str">
        <x:v>Rephrase or simplify my question</x:v>
      </x:c>
      <x:c r="B15" s="142" t="n">
        <x:v>69</x:v>
      </x:c>
      <x:c r="C15" s="130" t="n">
        <x:v>4.585507246376811</x:v>
      </x:c>
      <x:c r="D15" s="130" t="n">
        <x:v>1.0399767195243361</x:v>
      </x:c>
      <x:c r="E15" s="130" t="n">
        <x:v>5.695652173913044</x:v>
      </x:c>
      <x:c r="F15" s="130" t="n">
        <x:v>1.1543313295645763</x:v>
      </x:c>
      <x:c r="G15" s="121"/>
      <x:c r="H15" s="121"/>
      <x:c r="I15" s="121"/>
      <x:c r="J15" s="121"/>
      <x:c r="K15" s="121"/>
      <x:c r="L15" s="121"/>
    </x:row>
    <x:row r="16">
      <x:c r="A16" s="108" t="str">
        <x:v>Switch to Google or another search engine</x:v>
      </x:c>
      <x:c r="B16" s="144" t="n">
        <x:v>71</x:v>
      </x:c>
      <x:c r="C16" s="132" t="n">
        <x:v>4.692957746478873</x:v>
      </x:c>
      <x:c r="D16" s="132" t="n">
        <x:v>1.1327998112971456</x:v>
      </x:c>
      <x:c r="E16" s="132" t="n">
        <x:v>5.584507042253521</x:v>
      </x:c>
      <x:c r="F16" s="132" t="n">
        <x:v>1.859312306612616</x:v>
      </x:c>
      <x:c r="G16" s="121"/>
      <x:c r="H16" s="121"/>
      <x:c r="I16" s="121"/>
      <x:c r="J16" s="121"/>
      <x:c r="K16" s="121"/>
      <x:c r="L16" s="121"/>
    </x:row>
    <x:row r="17">
      <x:c r="A17" s="108" t="str">
        <x:v>Switch to a different AI</x:v>
      </x:c>
      <x:c r="B17" s="144" t="n">
        <x:v>21</x:v>
      </x:c>
      <x:c r="C17" s="132" t="n">
        <x:v>3.6666666666666665</x:v>
      </x:c>
      <x:c r="D17" s="132" t="n">
        <x:v>1.2764534199622537</x:v>
      </x:c>
      <x:c r="E17" s="132" t="n">
        <x:v>4.976190476190476</x:v>
      </x:c>
      <x:c r="F17" s="132" t="n">
        <x:v>1.4618155704139841</x:v>
      </x:c>
      <x:c r="G17" s="121"/>
      <x:c r="H17" s="121"/>
      <x:c r="I17" s="121"/>
      <x:c r="J17" s="121"/>
      <x:c r="K17" s="121"/>
      <x:c r="L17" s="121"/>
    </x:row>
    <x:row r="18">
      <x:c r="A18" s="108" t="str">
        <x:v>Retry with the same question</x:v>
      </x:c>
      <x:c r="B18" s="144" t="n">
        <x:v>4</x:v>
      </x:c>
      <x:c r="C18" s="132" t="n">
        <x:v>4.55</x:v>
      </x:c>
      <x:c r="D18" s="132" t="n">
        <x:v>0.29999999999999966</x:v>
      </x:c>
      <x:c r="E18" s="132" t="n">
        <x:v>6.375</x:v>
      </x:c>
      <x:c r="F18" s="132" t="n">
        <x:v>0.9464847243000456</x:v>
      </x:c>
      <x:c r="G18" s="121"/>
      <x:c r="H18" s="121"/>
      <x:c r="I18" s="121"/>
      <x:c r="J18" s="121"/>
      <x:c r="K18" s="121"/>
      <x:c r="L18" s="121"/>
    </x:row>
    <x:row r="19">
      <x:c r="A19" s="109" t="str">
        <x:v>Give up on the task</x:v>
      </x:c>
      <x:c r="B19" s="146" t="n">
        <x:v>16</x:v>
      </x:c>
      <x:c r="C19" s="134" t="n">
        <x:v>6</x:v>
      </x:c>
      <x:c r="D19" s="134" t="n">
        <x:v>0.7192588778272627</x:v>
      </x:c>
      <x:c r="E19" s="134" t="n">
        <x:v>6.8125</x:v>
      </x:c>
      <x:c r="F19" s="134" t="n">
        <x:v>0.35939764421413056</x:v>
      </x:c>
      <x:c r="G19" s="121"/>
      <x:c r="H19" s="121"/>
      <x:c r="I19" s="121"/>
      <x:c r="J19" s="121"/>
      <x:c r="K19" s="121"/>
      <x:c r="L19" s="121"/>
    </x:row>
    <x:row r="20">
      <x:c r="A20" s="121"/>
      <x:c r="B20" s="121"/>
      <x:c r="C20" s="121"/>
      <x:c r="D20" s="121"/>
      <x:c r="E20" s="121"/>
      <x:c r="F20" s="121"/>
      <x:c r="G20" s="121"/>
      <x:c r="H20" s="121"/>
      <x:c r="I20" s="121"/>
      <x:c r="J20" s="121"/>
      <x:c r="K20" s="121"/>
      <x:c r="L20" s="121"/>
    </x:row>
    <x:row r="21">
      <x:c r="A21" s="121"/>
      <x:c r="B21" s="121"/>
      <x:c r="C21" s="121"/>
      <x:c r="D21" s="121"/>
      <x:c r="E21" s="121"/>
      <x:c r="F21" s="121"/>
      <x:c r="G21" s="121"/>
      <x:c r="H21" s="121"/>
      <x:c r="I21" s="121"/>
      <x:c r="J21" s="121"/>
      <x:c r="K21" s="121"/>
      <x:c r="L21" s="121"/>
    </x:row>
    <x:row r="22">
      <x:c r="A22" s="121"/>
      <x:c r="B22" s="121"/>
      <x:c r="C22" s="121"/>
      <x:c r="D22" s="121"/>
      <x:c r="E22" s="121"/>
      <x:c r="F22" s="121"/>
      <x:c r="G22" s="121"/>
      <x:c r="H22" s="121"/>
      <x:c r="I22" s="121"/>
      <x:c r="J22" s="121"/>
      <x:c r="K22" s="121"/>
      <x:c r="L22" s="121"/>
    </x:row>
    <x:row r="23">
      <x:c r="A23" s="121"/>
      <x:c r="B23" s="121"/>
      <x:c r="C23" s="121"/>
      <x:c r="D23" s="121"/>
      <x:c r="E23" s="121"/>
      <x:c r="F23" s="121"/>
      <x:c r="G23" s="121"/>
      <x:c r="H23" s="121"/>
      <x:c r="I23" s="121"/>
      <x:c r="J23" s="121"/>
      <x:c r="K23" s="121"/>
      <x:c r="L23" s="121"/>
    </x:row>
    <x:row r="24">
      <x:c r="A24" s="121"/>
      <x:c r="B24" s="121"/>
      <x:c r="C24" s="121"/>
      <x:c r="D24" s="121"/>
      <x:c r="E24" s="121"/>
      <x:c r="F24" s="121"/>
      <x:c r="G24" s="121"/>
      <x:c r="H24" s="121"/>
      <x:c r="I24" s="121"/>
      <x:c r="J24" s="121"/>
      <x:c r="K24" s="121"/>
      <x:c r="L24" s="121"/>
    </x:row>
    <x:row r="25">
      <x:c r="A25" s="121"/>
      <x:c r="B25" s="121"/>
      <x:c r="C25" s="121"/>
      <x:c r="D25" s="121"/>
      <x:c r="E25" s="121"/>
      <x:c r="F25" s="121"/>
      <x:c r="G25" s="121"/>
      <x:c r="H25" s="121"/>
      <x:c r="I25" s="121"/>
      <x:c r="J25" s="121"/>
      <x:c r="K25" s="121"/>
      <x:c r="L25" s="121"/>
    </x:row>
    <x:row r="26">
      <x:c r="A26" s="121"/>
      <x:c r="B26" s="121"/>
      <x:c r="C26" s="121"/>
      <x:c r="D26" s="121"/>
      <x:c r="E26" s="121"/>
      <x:c r="F26" s="121"/>
      <x:c r="G26" s="121"/>
      <x:c r="H26" s="121"/>
      <x:c r="I26" s="121"/>
      <x:c r="J26" s="121"/>
      <x:c r="K26" s="121"/>
      <x:c r="L26" s="121"/>
    </x:row>
    <x:row r="27">
      <x:c r="A27" s="121"/>
      <x:c r="B27" s="121"/>
      <x:c r="C27" s="121"/>
      <x:c r="D27" s="121"/>
      <x:c r="E27" s="121"/>
      <x:c r="F27" s="121"/>
      <x:c r="G27" s="121"/>
      <x:c r="H27" s="121"/>
      <x:c r="I27" s="121"/>
      <x:c r="J27" s="121"/>
      <x:c r="K27" s="121"/>
      <x:c r="L27" s="121"/>
    </x:row>
    <x:row r="28">
      <x:c r="A28" s="121"/>
      <x:c r="B28" s="121"/>
      <x:c r="C28" s="121"/>
      <x:c r="D28" s="121"/>
      <x:c r="E28" s="121"/>
      <x:c r="F28" s="121"/>
      <x:c r="G28" s="121"/>
      <x:c r="H28" s="121"/>
      <x:c r="I28" s="121"/>
      <x:c r="J28" s="121"/>
      <x:c r="K28" s="121"/>
      <x:c r="L28" s="121"/>
    </x:row>
    <x:row r="29">
      <x:c r="A29" s="121"/>
      <x:c r="B29" s="121"/>
      <x:c r="C29" s="121"/>
      <x:c r="D29" s="121"/>
      <x:c r="E29" s="121"/>
      <x:c r="F29" s="121"/>
      <x:c r="G29" s="121"/>
      <x:c r="H29" s="121"/>
      <x:c r="I29" s="121"/>
      <x:c r="J29" s="121"/>
      <x:c r="K29" s="121"/>
      <x:c r="L29" s="121"/>
    </x:row>
    <x:row r="30">
      <x:c r="A30" s="121"/>
      <x:c r="B30" s="121"/>
      <x:c r="C30" s="121"/>
      <x:c r="D30" s="121"/>
      <x:c r="E30" s="121"/>
      <x:c r="F30" s="121"/>
      <x:c r="G30" s="121"/>
      <x:c r="H30" s="121"/>
      <x:c r="I30" s="121"/>
      <x:c r="J30" s="121"/>
      <x:c r="K30" s="121"/>
      <x:c r="L30" s="121"/>
    </x:row>
    <x:row r="31" ht="22" customHeight="1">
      <x:c r="A31" s="122" t="str">
        <x:v>Omnibus action-category test</x:v>
      </x:c>
      <x:c r="B31" s="122"/>
      <x:c r="C31" s="122"/>
      <x:c r="D31" s="122"/>
      <x:c r="E31" s="122"/>
      <x:c r="F31" s="122"/>
      <x:c r="G31" s="122"/>
      <x:c r="H31" s="122"/>
      <x:c r="I31" s="122"/>
      <x:c r="J31" s="122"/>
      <x:c r="K31" s="122"/>
      <x:c r="L31" s="122"/>
    </x:row>
    <x:row r="32">
      <x:c r="A32" s="114" t="str">
        <x:v>Test</x:v>
      </x:c>
      <x:c r="B32" s="115" t="str">
        <x:v>H</x:v>
      </x:c>
      <x:c r="C32" s="115" t="str">
        <x:v>df</x:v>
      </x:c>
      <x:c r="D32" s="115" t="str">
        <x:v>p</x:v>
      </x:c>
      <x:c r="E32" s="116" t="str">
        <x:v>Interpretation</x:v>
      </x:c>
      <x:c r="F32" s="121"/>
      <x:c r="G32" s="121"/>
      <x:c r="H32" s="121"/>
      <x:c r="I32" s="121"/>
      <x:c r="J32" s="121"/>
      <x:c r="K32" s="121"/>
      <x:c r="L32" s="121"/>
    </x:row>
    <x:row r="33">
      <x:c r="A33" s="157" t="str">
        <x:v>Kruskal-Wallis</x:v>
      </x:c>
      <x:c r="B33" s="159" t="n">
        <x:v>32.72744857303996</x:v>
      </x:c>
      <x:c r="C33" s="158" t="n">
        <x:v>4</x:v>
      </x:c>
      <x:c r="D33" s="163" t="n">
        <x:v>0.000001358212490884649</x:v>
      </x:c>
      <x:c r="E33" s="157" t="str">
        <x:v>Action-category distributions differ, but this does not rescue the grouped switch-away hypothesis.</x:v>
      </x:c>
      <x:c r="F33" s="121"/>
      <x:c r="G33" s="121"/>
      <x:c r="H33" s="121"/>
      <x:c r="I33" s="121"/>
      <x:c r="J33" s="121"/>
      <x:c r="K33" s="121"/>
      <x:c r="L33" s="121"/>
    </x:row>
    <x:row r="34">
      <x:c r="A34" s="121"/>
      <x:c r="B34" s="121"/>
      <x:c r="C34" s="121"/>
      <x:c r="D34" s="121"/>
      <x:c r="E34" s="121"/>
      <x:c r="F34" s="121"/>
      <x:c r="G34" s="121"/>
      <x:c r="H34" s="121"/>
      <x:c r="I34" s="121"/>
      <x:c r="J34" s="121"/>
      <x:c r="K34" s="121"/>
      <x:c r="L34" s="121"/>
    </x:row>
    <x:row r="35">
      <x:c r="A35" s="121"/>
      <x:c r="B35" s="121"/>
      <x:c r="C35" s="121"/>
      <x:c r="D35" s="121"/>
      <x:c r="E35" s="121"/>
      <x:c r="F35" s="121"/>
      <x:c r="G35" s="121"/>
      <x:c r="H35" s="121"/>
      <x:c r="I35" s="121"/>
      <x:c r="J35" s="121"/>
      <x:c r="K35" s="121"/>
      <x:c r="L35" s="121"/>
    </x:row>
    <x:row r="36" ht="34" customHeight="1">
      <x:c r="A36" s="136" t="str">
        <x:v>Recommended conclusion: H4 is not supported. External search, switching AI tools, and abandoning the task are not interchangeable outcomes. The composite also contains a 'felt like giving up' item, creating criterion contamination when predicting giving up.</x:v>
      </x:c>
      <x:c r="B36" s="137"/>
      <x:c r="C36" s="137"/>
      <x:c r="D36" s="137"/>
      <x:c r="E36" s="137"/>
      <x:c r="F36" s="137"/>
      <x:c r="G36" s="137"/>
      <x:c r="H36" s="137"/>
      <x:c r="I36" s="137"/>
      <x:c r="J36" s="137"/>
      <x:c r="K36" s="137"/>
      <x:c r="L36" s="138"/>
    </x:row>
  </x:sheetData>
  <x:mergeCells>
    <x:mergeCell ref="A1:L1"/>
    <x:mergeCell ref="A2:L2"/>
    <x:mergeCell ref="A4:L4"/>
    <x:mergeCell ref="A13:L13"/>
    <x:mergeCell ref="A31:L31"/>
    <x:mergeCell ref="A36:L36"/>
  </x:mergeCells>
  <x:pageMargins left="0.7" right="0.7" top="0.75" bottom="0.75" header="0.3" footer="0.3"/>
  <x:drawing xmlns:r="http://schemas.openxmlformats.org/officeDocument/2006/relationships" r:id="Rc30951a8fa8140b5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2" hidden="0" customWidth="1"/>
    <x:col min="4" max="4" width="22" hidden="0" customWidth="1"/>
    <x:col min="5" max="5" width="24" hidden="0" customWidth="1"/>
    <x:col min="6" max="6" width="20" hidden="0" customWidth="1"/>
  </x:cols>
  <x:sheetData>
    <x:row r="1" ht="32" customHeight="1">
      <x:c r="A1" s="120" t="str">
        <x:v>Frustration Composite - Reliability and Construct Audit</x:v>
      </x:c>
      <x:c r="B1" s="120"/>
      <x:c r="C1" s="120"/>
      <x:c r="D1" s="120"/>
      <x:c r="E1" s="120"/>
      <x:c r="F1" s="120"/>
      <x:c r="G1" s="120"/>
      <x:c r="H1" s="120"/>
      <x:c r="I1" s="120"/>
      <x:c r="J1" s="120"/>
    </x:row>
    <x:row r="2" ht="30" customHeight="1">
      <x:c r="A2" s="111" t="str">
        <x:v>Cronbach's alpha reproduces, but the item set mixes affect, effort, confidence, time-use appraisal, and abandonment intent.</x:v>
      </x:c>
      <x:c r="B2" s="111"/>
      <x:c r="C2" s="111"/>
      <x:c r="D2" s="111"/>
      <x:c r="E2" s="111"/>
      <x:c r="F2" s="111"/>
      <x:c r="G2" s="111"/>
      <x:c r="H2" s="111"/>
      <x:c r="I2" s="111"/>
      <x:c r="J2" s="111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</x:row>
    <x:row r="4" ht="22" customHeight="1">
      <x:c r="A4" s="122" t="str">
        <x:v>Reliability summary</x:v>
      </x:c>
      <x:c r="B4" s="122"/>
      <x:c r="C4" s="122"/>
      <x:c r="D4" s="122"/>
      <x:c r="E4" s="122"/>
      <x:c r="F4" s="122"/>
      <x:c r="G4" s="122"/>
      <x:c r="H4" s="122"/>
      <x:c r="I4" s="122"/>
      <x:c r="J4" s="122"/>
    </x:row>
    <x:row r="5">
      <x:c r="A5" s="114" t="str">
        <x:v>N</x:v>
      </x:c>
      <x:c r="B5" s="115" t="str">
        <x:v>Items</x:v>
      </x:c>
      <x:c r="C5" s="115" t="str">
        <x:v>Cronbach alpha</x:v>
      </x:c>
      <x:c r="D5" s="116" t="str">
        <x:v>Audit judgment</x:v>
      </x:c>
      <x:c r="E5" s="121"/>
      <x:c r="F5" s="121"/>
      <x:c r="G5" s="121"/>
      <x:c r="H5" s="121"/>
      <x:c r="I5" s="121"/>
      <x:c r="J5" s="121"/>
    </x:row>
    <x:row r="6">
      <x:c r="A6" s="158" t="n">
        <x:v>181</x:v>
      </x:c>
      <x:c r="B6" s="158" t="n">
        <x:v>5</x:v>
      </x:c>
      <x:c r="C6" s="159" t="n">
        <x:v>0.694409871394055</x:v>
      </x:c>
      <x:c r="D6" s="157" t="str">
        <x:v>Marginal for exploratory use; not scale validation</x:v>
      </x:c>
      <x:c r="E6" s="121"/>
      <x:c r="F6" s="121"/>
      <x:c r="G6" s="121"/>
      <x:c r="H6" s="121"/>
      <x:c r="I6" s="121"/>
      <x:c r="J6" s="121"/>
    </x:row>
    <x:row r="7">
      <x:c r="A7" s="121"/>
      <x:c r="B7" s="121"/>
      <x:c r="C7" s="121"/>
      <x:c r="D7" s="121"/>
      <x:c r="E7" s="121"/>
      <x:c r="F7" s="121"/>
      <x:c r="G7" s="121"/>
      <x:c r="H7" s="121"/>
      <x:c r="I7" s="121"/>
      <x:c r="J7" s="121"/>
    </x:row>
    <x:row r="8">
      <x:c r="A8" s="121"/>
      <x:c r="B8" s="121"/>
      <x:c r="C8" s="121"/>
      <x:c r="D8" s="121"/>
      <x:c r="E8" s="121"/>
      <x:c r="F8" s="121"/>
      <x:c r="G8" s="121"/>
      <x:c r="H8" s="121"/>
      <x:c r="I8" s="121"/>
      <x:c r="J8" s="121"/>
    </x:row>
    <x:row r="9" ht="22" customHeight="1">
      <x:c r="A9" s="122" t="str">
        <x:v>Item diagnostics</x:v>
      </x:c>
      <x:c r="B9" s="122"/>
      <x:c r="C9" s="122"/>
      <x:c r="D9" s="122"/>
      <x:c r="E9" s="122"/>
      <x:c r="F9" s="122"/>
      <x:c r="G9" s="122"/>
      <x:c r="H9" s="122"/>
      <x:c r="I9" s="122"/>
      <x:c r="J9" s="122"/>
    </x:row>
    <x:row r="10">
      <x:c r="A10" s="114" t="str">
        <x:v>Item</x:v>
      </x:c>
      <x:c r="B10" s="115" t="str">
        <x:v>Mean</x:v>
      </x:c>
      <x:c r="C10" s="115" t="str">
        <x:v>SD</x:v>
      </x:c>
      <x:c r="D10" s="115" t="str">
        <x:v>Corrected item-total r</x:v>
      </x:c>
      <x:c r="E10" s="115" t="str">
        <x:v>Alpha if deleted</x:v>
      </x:c>
      <x:c r="F10" s="116" t="str">
        <x:v>Construct note</x:v>
      </x:c>
      <x:c r="G10" s="121"/>
      <x:c r="H10" s="121"/>
      <x:c r="I10" s="121"/>
      <x:c r="J10" s="121"/>
    </x:row>
    <x:row r="11">
      <x:c r="A11" s="107" t="str">
        <x:v>give_up</x:v>
      </x:c>
      <x:c r="B11" s="130" t="n">
        <x:v>3.7569060773480665</x:v>
      </x:c>
      <x:c r="C11" s="130" t="n">
        <x:v>1.968225183880864</x:v>
      </x:c>
      <x:c r="D11" s="130" t="n">
        <x:v>0.4872324847706813</x:v>
      </x:c>
      <x:c r="E11" s="130" t="n">
        <x:v>0.6286693041759343</x:v>
      </x:c>
      <x:c r="F11" s="107" t="str">
        <x:v>Abandonment intention / behavior tendency</x:v>
      </x:c>
      <x:c r="G11" s="121"/>
      <x:c r="H11" s="121"/>
      <x:c r="I11" s="121"/>
      <x:c r="J11" s="121"/>
    </x:row>
    <x:row r="12">
      <x:c r="A12" s="108" t="str">
        <x:v>time_used_well_rev</x:v>
      </x:c>
      <x:c r="B12" s="132" t="n">
        <x:v>5.602209944751381</x:v>
      </x:c>
      <x:c r="C12" s="132" t="n">
        <x:v>1.6488364854279305</x:v>
      </x:c>
      <x:c r="D12" s="132" t="n">
        <x:v>0.3772937178330967</x:v>
      </x:c>
      <x:c r="E12" s="132" t="n">
        <x:v>0.6735150234752793</x:v>
      </x:c>
      <x:c r="F12" s="108" t="str">
        <x:v>Time-use appraisal (reversed)</x:v>
      </x:c>
      <x:c r="G12" s="121"/>
      <x:c r="H12" s="121"/>
      <x:c r="I12" s="121"/>
      <x:c r="J12" s="121"/>
    </x:row>
    <x:row r="13">
      <x:c r="A13" s="108" t="str">
        <x:v>mentally_drained</x:v>
      </x:c>
      <x:c r="B13" s="132" t="n">
        <x:v>4.209944751381215</x:v>
      </x:c>
      <x:c r="C13" s="132" t="n">
        <x:v>1.8649130147237936</x:v>
      </x:c>
      <x:c r="D13" s="132" t="n">
        <x:v>0.49237175585015913</x:v>
      </x:c>
      <x:c r="E13" s="132" t="n">
        <x:v>0.6257721366617344</x:v>
      </x:c>
      <x:c r="F13" s="108" t="str">
        <x:v>Affective/cognitive fatigue</x:v>
      </x:c>
      <x:c r="G13" s="121"/>
      <x:c r="H13" s="121"/>
      <x:c r="I13" s="121"/>
      <x:c r="J13" s="121"/>
    </x:row>
    <x:row r="14">
      <x:c r="A14" s="108" t="str">
        <x:v>confidence_ai_rev</x:v>
      </x:c>
      <x:c r="B14" s="132" t="n">
        <x:v>5.1878453038674035</x:v>
      </x:c>
      <x:c r="C14" s="132" t="n">
        <x:v>1.590969759591978</x:v>
      </x:c>
      <x:c r="D14" s="132" t="n">
        <x:v>0.3863765512364719</x:v>
      </x:c>
      <x:c r="E14" s="132" t="n">
        <x:v>0.6699186387266647</x:v>
      </x:c>
      <x:c r="F14" s="108" t="str">
        <x:v>Confidence/trust (reversed)</x:v>
      </x:c>
      <x:c r="G14" s="121"/>
      <x:c r="H14" s="121"/>
      <x:c r="I14" s="121"/>
      <x:c r="J14" s="121"/>
    </x:row>
    <x:row r="15">
      <x:c r="A15" s="109" t="str">
        <x:v>mental_effort</x:v>
      </x:c>
      <x:c r="B15" s="134" t="n">
        <x:v>4.469613259668508</x:v>
      </x:c>
      <x:c r="C15" s="134" t="n">
        <x:v>1.752906907790245</x:v>
      </x:c>
      <x:c r="D15" s="134" t="n">
        <x:v>0.507093224075687</x:v>
      </x:c>
      <x:c r="E15" s="134" t="n">
        <x:v>0.6202512518301991</x:v>
      </x:c>
      <x:c r="F15" s="109" t="str">
        <x:v>Effort / cognitive load</x:v>
      </x:c>
      <x:c r="G15" s="121"/>
      <x:c r="H15" s="121"/>
      <x:c r="I15" s="121"/>
      <x:c r="J15" s="121"/>
    </x:row>
    <x:row r="16">
      <x:c r="A16" s="121"/>
      <x:c r="B16" s="121"/>
      <x:c r="C16" s="121"/>
      <x:c r="D16" s="121"/>
      <x:c r="E16" s="121"/>
      <x:c r="F16" s="121"/>
      <x:c r="G16" s="121"/>
      <x:c r="H16" s="121"/>
      <x:c r="I16" s="121"/>
      <x:c r="J16" s="121"/>
    </x:row>
    <x:row r="17">
      <x:c r="A17" s="121"/>
      <x:c r="B17" s="121"/>
      <x:c r="C17" s="121"/>
      <x:c r="D17" s="121"/>
      <x:c r="E17" s="121"/>
      <x:c r="F17" s="121"/>
      <x:c r="G17" s="121"/>
      <x:c r="H17" s="121"/>
      <x:c r="I17" s="121"/>
      <x:c r="J17" s="121"/>
    </x:row>
    <x:row r="18" ht="22" customHeight="1">
      <x:c r="A18" s="122" t="str">
        <x:v>Inter-item correlations</x:v>
      </x:c>
      <x:c r="B18" s="122"/>
      <x:c r="C18" s="122"/>
      <x:c r="D18" s="122"/>
      <x:c r="E18" s="122"/>
      <x:c r="F18" s="122"/>
      <x:c r="G18" s="122"/>
      <x:c r="H18" s="122"/>
      <x:c r="I18" s="122"/>
      <x:c r="J18" s="122"/>
    </x:row>
    <x:row r="19">
      <x:c r="A19" s="114" t="str">
        <x:v>Item</x:v>
      </x:c>
      <x:c r="B19" s="115" t="str">
        <x:v>give_up</x:v>
      </x:c>
      <x:c r="C19" s="115" t="str">
        <x:v>time_used_well_rev</x:v>
      </x:c>
      <x:c r="D19" s="115" t="str">
        <x:v>mentally_drained</x:v>
      </x:c>
      <x:c r="E19" s="115" t="str">
        <x:v>confidence_ai_rev</x:v>
      </x:c>
      <x:c r="F19" s="116" t="str">
        <x:v>mental_effort</x:v>
      </x:c>
      <x:c r="G19" s="121"/>
      <x:c r="H19" s="121"/>
      <x:c r="I19" s="121"/>
      <x:c r="J19" s="121"/>
    </x:row>
    <x:row r="20">
      <x:c r="A20" s="107" t="str">
        <x:v>give_up</x:v>
      </x:c>
      <x:c r="B20" s="130" t="n">
        <x:v>1</x:v>
      </x:c>
      <x:c r="C20" s="130" t="n">
        <x:v>0.22682031295897587</x:v>
      </x:c>
      <x:c r="D20" s="130" t="n">
        <x:v>0.41961037025980175</x:v>
      </x:c>
      <x:c r="E20" s="130" t="n">
        <x:v>0.3269144316014641</x:v>
      </x:c>
      <x:c r="F20" s="130" t="n">
        <x:v>0.35693327123862156</x:v>
      </x:c>
      <x:c r="G20" s="121"/>
      <x:c r="H20" s="121"/>
      <x:c r="I20" s="121"/>
      <x:c r="J20" s="121"/>
    </x:row>
    <x:row r="21">
      <x:c r="A21" s="108" t="str">
        <x:v>time_used_well_rev</x:v>
      </x:c>
      <x:c r="B21" s="132" t="n">
        <x:v>0.22682031295897587</x:v>
      </x:c>
      <x:c r="C21" s="132" t="n">
        <x:v>1</x:v>
      </x:c>
      <x:c r="D21" s="132" t="n">
        <x:v>0.10138605011199227</x:v>
      </x:c>
      <x:c r="E21" s="132" t="n">
        <x:v>0.5729215590557362</x:v>
      </x:c>
      <x:c r="F21" s="132" t="n">
        <x:v>0.21876593597672964</x:v>
      </x:c>
      <x:c r="G21" s="121"/>
      <x:c r="H21" s="121"/>
      <x:c r="I21" s="121"/>
      <x:c r="J21" s="121"/>
    </x:row>
    <x:row r="22">
      <x:c r="A22" s="108" t="str">
        <x:v>mentally_drained</x:v>
      </x:c>
      <x:c r="B22" s="132" t="n">
        <x:v>0.41961037025980175</x:v>
      </x:c>
      <x:c r="C22" s="132" t="n">
        <x:v>0.10138605011199227</x:v>
      </x:c>
      <x:c r="D22" s="132" t="n">
        <x:v>1</x:v>
      </x:c>
      <x:c r="E22" s="132" t="n">
        <x:v>0.12332215447005233</x:v>
      </x:c>
      <x:c r="F22" s="132" t="n">
        <x:v>0.6681493191505319</x:v>
      </x:c>
      <x:c r="G22" s="121"/>
      <x:c r="H22" s="121"/>
      <x:c r="I22" s="121"/>
      <x:c r="J22" s="121"/>
    </x:row>
    <x:row r="23">
      <x:c r="A23" s="108" t="str">
        <x:v>confidence_ai_rev</x:v>
      </x:c>
      <x:c r="B23" s="132" t="n">
        <x:v>0.3269144316014641</x:v>
      </x:c>
      <x:c r="C23" s="132" t="n">
        <x:v>0.5729215590557362</x:v>
      </x:c>
      <x:c r="D23" s="132" t="n">
        <x:v>0.12332215447005233</x:v>
      </x:c>
      <x:c r="E23" s="132" t="n">
        <x:v>1</x:v>
      </x:c>
      <x:c r="F23" s="132" t="n">
        <x:v>0.09568586308175692</x:v>
      </x:c>
      <x:c r="G23" s="121"/>
      <x:c r="H23" s="121"/>
      <x:c r="I23" s="121"/>
      <x:c r="J23" s="121"/>
    </x:row>
    <x:row r="24">
      <x:c r="A24" s="109" t="str">
        <x:v>mental_effort</x:v>
      </x:c>
      <x:c r="B24" s="134" t="n">
        <x:v>0.35693327123862156</x:v>
      </x:c>
      <x:c r="C24" s="134" t="n">
        <x:v>0.21876593597672964</x:v>
      </x:c>
      <x:c r="D24" s="134" t="n">
        <x:v>0.6681493191505319</x:v>
      </x:c>
      <x:c r="E24" s="134" t="n">
        <x:v>0.09568586308175692</x:v>
      </x:c>
      <x:c r="F24" s="134" t="n">
        <x:v>1</x:v>
      </x:c>
      <x:c r="G24" s="121"/>
      <x:c r="H24" s="121"/>
      <x:c r="I24" s="121"/>
      <x:c r="J24" s="121"/>
    </x:row>
    <x:row r="25">
      <x:c r="A25" s="121"/>
      <x:c r="B25" s="121"/>
      <x:c r="C25" s="121"/>
      <x:c r="D25" s="121"/>
      <x:c r="E25" s="121"/>
      <x:c r="F25" s="121"/>
      <x:c r="G25" s="121"/>
      <x:c r="H25" s="121"/>
      <x:c r="I25" s="121"/>
      <x:c r="J25" s="121"/>
    </x:row>
    <x:row r="26">
      <x:c r="A26" s="121"/>
      <x:c r="B26" s="121"/>
      <x:c r="C26" s="121"/>
      <x:c r="D26" s="121"/>
      <x:c r="E26" s="121"/>
      <x:c r="F26" s="121"/>
      <x:c r="G26" s="121"/>
      <x:c r="H26" s="121"/>
      <x:c r="I26" s="121"/>
      <x:c r="J26" s="121"/>
    </x:row>
    <x:row r="27" ht="34" customHeight="1">
      <x:c r="A27" s="117" t="str">
        <x:v>Do not describe alpha=.69 as proof that the scale is 'adequate.' Alpha depends on item count and covariance assumptions, and a single coefficient does not establish dimensionality, construct validity, or freedom from criterion overlap.</x:v>
      </x:c>
      <x:c r="B27" s="118"/>
      <x:c r="C27" s="118"/>
      <x:c r="D27" s="118"/>
      <x:c r="E27" s="118"/>
      <x:c r="F27" s="118"/>
      <x:c r="G27" s="118"/>
      <x:c r="H27" s="118"/>
      <x:c r="I27" s="118"/>
      <x:c r="J27" s="119"/>
    </x:row>
  </x:sheetData>
  <x:mergeCells>
    <x:mergeCell ref="A1:J1"/>
    <x:mergeCell ref="A2:J2"/>
    <x:mergeCell ref="A4:J4"/>
    <x:mergeCell ref="A9:J9"/>
    <x:mergeCell ref="A18:J18"/>
    <x:mergeCell ref="A27:J2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28" hidden="0" customWidth="1"/>
    <x:col min="4" max="4" width="14" hidden="0" customWidth="1"/>
  </x:cols>
  <x:sheetData>
    <x:row r="1" ht="32" customHeight="1">
      <x:c r="A1" s="120" t="str">
        <x:v>Deduplicated Sample and Response Counts</x:v>
      </x:c>
      <x:c r="B1" s="120"/>
      <x:c r="C1" s="120"/>
      <x:c r="D1" s="120"/>
      <x:c r="E1" s="120"/>
      <x:c r="F1" s="120"/>
      <x:c r="G1" s="120"/>
      <x:c r="H1" s="120"/>
    </x:row>
    <x:row r="2" ht="30" customHeight="1">
      <x:c r="A2" s="111" t="str">
        <x:v>Counts are descriptive for the 181 retained content patterns; the online convenience sample is not population-representative.</x:v>
      </x:c>
      <x:c r="B2" s="111"/>
      <x:c r="C2" s="111"/>
      <x:c r="D2" s="111"/>
      <x:c r="E2" s="111"/>
      <x:c r="F2" s="111"/>
      <x:c r="G2" s="111"/>
      <x:c r="H2" s="111"/>
    </x:row>
    <x:row r="3">
      <x:c r="A3" s="121"/>
      <x:c r="B3" s="121"/>
      <x:c r="C3" s="121"/>
      <x:c r="D3" s="121"/>
      <x:c r="E3" s="121"/>
      <x:c r="F3" s="121"/>
      <x:c r="G3" s="121"/>
      <x:c r="H3" s="121"/>
    </x:row>
    <x:row r="4" ht="22" customHeight="1">
      <x:c r="A4" s="122" t="str">
        <x:v>Single-select variables</x:v>
      </x:c>
      <x:c r="B4" s="122"/>
      <x:c r="C4" s="122"/>
      <x:c r="D4" s="122"/>
      <x:c r="E4" s="122"/>
      <x:c r="F4" s="122"/>
      <x:c r="G4" s="122"/>
      <x:c r="H4" s="122"/>
    </x:row>
    <x:row r="5">
      <x:c r="A5" s="114" t="str">
        <x:v>Variable</x:v>
      </x:c>
      <x:c r="B5" s="115" t="str">
        <x:v>Category</x:v>
      </x:c>
      <x:c r="C5" s="115" t="str">
        <x:v>N</x:v>
      </x:c>
      <x:c r="D5" s="116" t="str">
        <x:v>Percent</x:v>
      </x:c>
      <x:c r="E5" s="121"/>
      <x:c r="F5" s="121"/>
      <x:c r="G5" s="121"/>
      <x:c r="H5" s="121"/>
    </x:row>
    <x:row r="6">
      <x:c r="A6" s="107" t="str">
        <x:v>use_frequency</x:v>
      </x:c>
      <x:c r="B6" s="107" t="str">
        <x:v>Multiple times a day</x:v>
      </x:c>
      <x:c r="C6" s="142" t="n">
        <x:v>62</x:v>
      </x:c>
      <x:c r="D6" s="164" t="n">
        <x:v>0.3425414364640884</x:v>
      </x:c>
      <x:c r="E6" s="121"/>
      <x:c r="F6" s="121"/>
      <x:c r="G6" s="121"/>
      <x:c r="H6" s="121"/>
    </x:row>
    <x:row r="7">
      <x:c r="A7" s="108" t="str">
        <x:v>use_frequency</x:v>
      </x:c>
      <x:c r="B7" s="108" t="str">
        <x:v>A few times a week</x:v>
      </x:c>
      <x:c r="C7" s="144" t="n">
        <x:v>51</x:v>
      </x:c>
      <x:c r="D7" s="165" t="n">
        <x:v>0.281767955801105</x:v>
      </x:c>
      <x:c r="E7" s="121"/>
      <x:c r="F7" s="121"/>
      <x:c r="G7" s="121"/>
      <x:c r="H7" s="121"/>
    </x:row>
    <x:row r="8">
      <x:c r="A8" s="108" t="str">
        <x:v>use_frequency</x:v>
      </x:c>
      <x:c r="B8" s="108" t="str">
        <x:v>Rarely</x:v>
      </x:c>
      <x:c r="C8" s="144" t="n">
        <x:v>39</x:v>
      </x:c>
      <x:c r="D8" s="165" t="n">
        <x:v>0.2154696132596685</x:v>
      </x:c>
      <x:c r="E8" s="121"/>
      <x:c r="F8" s="121"/>
      <x:c r="G8" s="121"/>
      <x:c r="H8" s="121"/>
    </x:row>
    <x:row r="9">
      <x:c r="A9" s="108" t="str">
        <x:v>use_frequency</x:v>
      </x:c>
      <x:c r="B9" s="108" t="str">
        <x:v>Once a day</x:v>
      </x:c>
      <x:c r="C9" s="144" t="n">
        <x:v>29</x:v>
      </x:c>
      <x:c r="D9" s="165" t="n">
        <x:v>0.16022099447513813</x:v>
      </x:c>
      <x:c r="E9" s="121"/>
      <x:c r="F9" s="121"/>
      <x:c r="G9" s="121"/>
      <x:c r="H9" s="121"/>
    </x:row>
    <x:row r="10">
      <x:c r="A10" s="108" t="str">
        <x:v>experience</x:v>
      </x:c>
      <x:c r="B10" s="108" t="str">
        <x:v>Intermediate</x:v>
      </x:c>
      <x:c r="C10" s="144" t="n">
        <x:v>97</x:v>
      </x:c>
      <x:c r="D10" s="165" t="n">
        <x:v>0.5359116022099447</x:v>
      </x:c>
      <x:c r="E10" s="121"/>
      <x:c r="F10" s="121"/>
      <x:c r="G10" s="121"/>
      <x:c r="H10" s="121"/>
    </x:row>
    <x:row r="11">
      <x:c r="A11" s="108" t="str">
        <x:v>experience</x:v>
      </x:c>
      <x:c r="B11" s="108" t="str">
        <x:v>Beginner</x:v>
      </x:c>
      <x:c r="C11" s="144" t="n">
        <x:v>44</x:v>
      </x:c>
      <x:c r="D11" s="165" t="n">
        <x:v>0.2430939226519337</x:v>
      </x:c>
      <x:c r="E11" s="121"/>
      <x:c r="F11" s="121"/>
      <x:c r="G11" s="121"/>
      <x:c r="H11" s="121"/>
    </x:row>
    <x:row r="12">
      <x:c r="A12" s="108" t="str">
        <x:v>experience</x:v>
      </x:c>
      <x:c r="B12" s="108" t="str">
        <x:v>Advanced</x:v>
      </x:c>
      <x:c r="C12" s="144" t="n">
        <x:v>40</x:v>
      </x:c>
      <x:c r="D12" s="165" t="n">
        <x:v>0.22099447513812154</x:v>
      </x:c>
      <x:c r="E12" s="121"/>
      <x:c r="F12" s="121"/>
      <x:c r="G12" s="121"/>
      <x:c r="H12" s="121"/>
    </x:row>
    <x:row r="13">
      <x:c r="A13" s="108" t="str">
        <x:v>failure_type</x:v>
      </x:c>
      <x:c r="B13" s="108" t="str">
        <x:v>Both equally</x:v>
      </x:c>
      <x:c r="C13" s="144" t="n">
        <x:v>75</x:v>
      </x:c>
      <x:c r="D13" s="165" t="n">
        <x:v>0.4143646408839779</x:v>
      </x:c>
      <x:c r="E13" s="121"/>
      <x:c r="F13" s="121"/>
      <x:c r="G13" s="121"/>
      <x:c r="H13" s="121"/>
    </x:row>
    <x:row r="14">
      <x:c r="A14" s="108" t="str">
        <x:v>failure_type</x:v>
      </x:c>
      <x:c r="B14" s="108" t="str">
        <x:v>Scenario B (unpredictable errors)</x:v>
      </x:c>
      <x:c r="C14" s="144" t="n">
        <x:v>60</x:v>
      </x:c>
      <x:c r="D14" s="165" t="n">
        <x:v>0.33149171270718225</x:v>
      </x:c>
      <x:c r="E14" s="121"/>
      <x:c r="F14" s="121"/>
      <x:c r="G14" s="121"/>
      <x:c r="H14" s="121"/>
    </x:row>
    <x:row r="15">
      <x:c r="A15" s="108" t="str">
        <x:v>failure_type</x:v>
      </x:c>
      <x:c r="B15" s="108" t="str">
        <x:v>Scenario A (always wrong)</x:v>
      </x:c>
      <x:c r="C15" s="144" t="n">
        <x:v>35</x:v>
      </x:c>
      <x:c r="D15" s="165" t="n">
        <x:v>0.19337016574585636</x:v>
      </x:c>
      <x:c r="E15" s="121"/>
      <x:c r="F15" s="121"/>
      <x:c r="G15" s="121"/>
      <x:c r="H15" s="121"/>
    </x:row>
    <x:row r="16">
      <x:c r="A16" s="108" t="str">
        <x:v>failure_type</x:v>
      </x:c>
      <x:c r="B16" s="108" t="str">
        <x:v>Neither frustrated me much</x:v>
      </x:c>
      <x:c r="C16" s="144" t="n">
        <x:v>11</x:v>
      </x:c>
      <x:c r="D16" s="165" t="n">
        <x:v>0.06077348066298342</x:v>
      </x:c>
      <x:c r="E16" s="121"/>
      <x:c r="F16" s="121"/>
      <x:c r="G16" s="121"/>
      <x:c r="H16" s="121"/>
    </x:row>
    <x:row r="17">
      <x:c r="A17" s="108" t="str">
        <x:v>attention</x:v>
      </x:c>
      <x:c r="B17" s="108" t="str">
        <x:v>More carefully — I review answers more closely</x:v>
      </x:c>
      <x:c r="C17" s="144" t="n">
        <x:v>106</x:v>
      </x:c>
      <x:c r="D17" s="165" t="n">
        <x:v>0.585635359116022</x:v>
      </x:c>
      <x:c r="E17" s="121"/>
      <x:c r="F17" s="121"/>
      <x:c r="G17" s="121"/>
      <x:c r="H17" s="121"/>
    </x:row>
    <x:row r="18">
      <x:c r="A18" s="108" t="str">
        <x:v>attention</x:v>
      </x:c>
      <x:c r="B18" s="108" t="str">
        <x:v>Much less carefully — I start skimming</x:v>
      </x:c>
      <x:c r="C18" s="144" t="n">
        <x:v>29</x:v>
      </x:c>
      <x:c r="D18" s="165" t="n">
        <x:v>0.16022099447513813</x:v>
      </x:c>
      <x:c r="E18" s="121"/>
      <x:c r="F18" s="121"/>
      <x:c r="G18" s="121"/>
      <x:c r="H18" s="121"/>
    </x:row>
    <x:row r="19">
      <x:c r="A19" s="108" t="str">
        <x:v>attention</x:v>
      </x:c>
      <x:c r="B19" s="108" t="str">
        <x:v>No change</x:v>
      </x:c>
      <x:c r="C19" s="144" t="n">
        <x:v>27</x:v>
      </x:c>
      <x:c r="D19" s="165" t="n">
        <x:v>0.14917127071823205</x:v>
      </x:c>
      <x:c r="E19" s="121"/>
      <x:c r="F19" s="121"/>
      <x:c r="G19" s="121"/>
      <x:c r="H19" s="121"/>
    </x:row>
    <x:row r="20">
      <x:c r="A20" s="108" t="str">
        <x:v>attention</x:v>
      </x:c>
      <x:c r="B20" s="108" t="str">
        <x:v>Slightly less carefully</x:v>
      </x:c>
      <x:c r="C20" s="144" t="n">
        <x:v>19</x:v>
      </x:c>
      <x:c r="D20" s="165" t="n">
        <x:v>0.10497237569060774</x:v>
      </x:c>
      <x:c r="E20" s="121"/>
      <x:c r="F20" s="121"/>
      <x:c r="G20" s="121"/>
      <x:c r="H20" s="121"/>
    </x:row>
    <x:row r="21">
      <x:c r="A21" s="108" t="str">
        <x:v>attention_threshold</x:v>
      </x:c>
      <x:c r="B21" s="108" t="str">
        <x:v>After 2–3 errors</x:v>
      </x:c>
      <x:c r="C21" s="144" t="n">
        <x:v>61</x:v>
      </x:c>
      <x:c r="D21" s="165" t="n">
        <x:v>0.3370165745856354</x:v>
      </x:c>
      <x:c r="E21" s="121"/>
      <x:c r="F21" s="121"/>
      <x:c r="G21" s="121"/>
      <x:c r="H21" s="121"/>
    </x:row>
    <x:row r="22">
      <x:c r="A22" s="108" t="str">
        <x:v>attention_threshold</x:v>
      </x:c>
      <x:c r="B22" s="108" t="str">
        <x:v>After 1 error</x:v>
      </x:c>
      <x:c r="C22" s="144" t="n">
        <x:v>58</x:v>
      </x:c>
      <x:c r="D22" s="165" t="n">
        <x:v>0.32044198895027626</x:v>
      </x:c>
      <x:c r="E22" s="121"/>
      <x:c r="F22" s="121"/>
      <x:c r="G22" s="121"/>
      <x:c r="H22" s="121"/>
    </x:row>
    <x:row r="23">
      <x:c r="A23" s="108" t="str">
        <x:v>attention_threshold</x:v>
      </x:c>
      <x:c r="B23" s="108" t="str">
        <x:v>My attention doesn't change</x:v>
      </x:c>
      <x:c r="C23" s="144" t="n">
        <x:v>40</x:v>
      </x:c>
      <x:c r="D23" s="165" t="n">
        <x:v>0.22099447513812154</x:v>
      </x:c>
      <x:c r="E23" s="121"/>
      <x:c r="F23" s="121"/>
      <x:c r="G23" s="121"/>
      <x:c r="H23" s="121"/>
    </x:row>
    <x:row r="24">
      <x:c r="A24" s="108" t="str">
        <x:v>attention_threshold</x:v>
      </x:c>
      <x:c r="B24" s="108" t="str">
        <x:v>After 4–5 errors</x:v>
      </x:c>
      <x:c r="C24" s="144" t="n">
        <x:v>15</x:v>
      </x:c>
      <x:c r="D24" s="165" t="n">
        <x:v>0.08287292817679556</x:v>
      </x:c>
      <x:c r="E24" s="121"/>
      <x:c r="F24" s="121"/>
      <x:c r="G24" s="121"/>
      <x:c r="H24" s="121"/>
    </x:row>
    <x:row r="25">
      <x:c r="A25" s="108" t="str">
        <x:v>attention_threshold</x:v>
      </x:c>
      <x:c r="B25" s="108" t="str">
        <x:v>After 6+ errors</x:v>
      </x:c>
      <x:c r="C25" s="144" t="n">
        <x:v>7</x:v>
      </x:c>
      <x:c r="D25" s="165" t="n">
        <x:v>0.03867403314917127</x:v>
      </x:c>
      <x:c r="E25" s="121"/>
      <x:c r="F25" s="121"/>
      <x:c r="G25" s="121"/>
      <x:c r="H25" s="121"/>
    </x:row>
    <x:row r="26">
      <x:c r="A26" s="108" t="str">
        <x:v>first_action</x:v>
      </x:c>
      <x:c r="B26" s="108" t="str">
        <x:v>Switch to Google or another search engine</x:v>
      </x:c>
      <x:c r="C26" s="144" t="n">
        <x:v>71</x:v>
      </x:c>
      <x:c r="D26" s="165" t="n">
        <x:v>0.39226519337016574</x:v>
      </x:c>
      <x:c r="E26" s="121"/>
      <x:c r="F26" s="121"/>
      <x:c r="G26" s="121"/>
      <x:c r="H26" s="121"/>
    </x:row>
    <x:row r="27">
      <x:c r="A27" s="108" t="str">
        <x:v>first_action</x:v>
      </x:c>
      <x:c r="B27" s="108" t="str">
        <x:v>Rephrase or simplify my question</x:v>
      </x:c>
      <x:c r="C27" s="144" t="n">
        <x:v>69</x:v>
      </x:c>
      <x:c r="D27" s="165" t="n">
        <x:v>0.3812154696132597</x:v>
      </x:c>
      <x:c r="E27" s="121"/>
      <x:c r="F27" s="121"/>
      <x:c r="G27" s="121"/>
      <x:c r="H27" s="121"/>
    </x:row>
    <x:row r="28">
      <x:c r="A28" s="108" t="str">
        <x:v>first_action</x:v>
      </x:c>
      <x:c r="B28" s="108" t="str">
        <x:v>Switch to a different AI</x:v>
      </x:c>
      <x:c r="C28" s="144" t="n">
        <x:v>21</x:v>
      </x:c>
      <x:c r="D28" s="165" t="n">
        <x:v>0.11602209944751381</x:v>
      </x:c>
      <x:c r="E28" s="121"/>
      <x:c r="F28" s="121"/>
      <x:c r="G28" s="121"/>
      <x:c r="H28" s="121"/>
    </x:row>
    <x:row r="29">
      <x:c r="A29" s="108" t="str">
        <x:v>first_action</x:v>
      </x:c>
      <x:c r="B29" s="108" t="str">
        <x:v>Give up on the task</x:v>
      </x:c>
      <x:c r="C29" s="144" t="n">
        <x:v>16</x:v>
      </x:c>
      <x:c r="D29" s="165" t="n">
        <x:v>0.0883977900552486</x:v>
      </x:c>
      <x:c r="E29" s="121"/>
      <x:c r="F29" s="121"/>
      <x:c r="G29" s="121"/>
      <x:c r="H29" s="121"/>
    </x:row>
    <x:row r="30">
      <x:c r="A30" s="108" t="str">
        <x:v>first_action</x:v>
      </x:c>
      <x:c r="B30" s="108" t="str">
        <x:v>Retry with the same question</x:v>
      </x:c>
      <x:c r="C30" s="144" t="n">
        <x:v>4</x:v>
      </x:c>
      <x:c r="D30" s="165" t="n">
        <x:v>0.02209944751381215</x:v>
      </x:c>
      <x:c r="E30" s="121"/>
      <x:c r="F30" s="121"/>
      <x:c r="G30" s="121"/>
      <x:c r="H30" s="121"/>
    </x:row>
    <x:row r="31">
      <x:c r="A31" s="108" t="str">
        <x:v>age</x:v>
      </x:c>
      <x:c r="B31" s="108" t="str">
        <x:v>25-34</x:v>
      </x:c>
      <x:c r="C31" s="144" t="n">
        <x:v>67</x:v>
      </x:c>
      <x:c r="D31" s="165" t="n">
        <x:v>0.3701657458563536</x:v>
      </x:c>
      <x:c r="E31" s="121"/>
      <x:c r="F31" s="121"/>
      <x:c r="G31" s="121"/>
      <x:c r="H31" s="121"/>
    </x:row>
    <x:row r="32">
      <x:c r="A32" s="108" t="str">
        <x:v>age</x:v>
      </x:c>
      <x:c r="B32" s="108" t="str">
        <x:v>18-24</x:v>
      </x:c>
      <x:c r="C32" s="144" t="n">
        <x:v>60</x:v>
      </x:c>
      <x:c r="D32" s="165" t="n">
        <x:v>0.33149171270718225</x:v>
      </x:c>
      <x:c r="E32" s="121"/>
      <x:c r="F32" s="121"/>
      <x:c r="G32" s="121"/>
      <x:c r="H32" s="121"/>
    </x:row>
    <x:row r="33">
      <x:c r="A33" s="108" t="str">
        <x:v>age</x:v>
      </x:c>
      <x:c r="B33" s="108" t="str">
        <x:v>35-44</x:v>
      </x:c>
      <x:c r="C33" s="144" t="n">
        <x:v>24</x:v>
      </x:c>
      <x:c r="D33" s="165" t="n">
        <x:v>0.13259668508287292</x:v>
      </x:c>
      <x:c r="E33" s="121"/>
      <x:c r="F33" s="121"/>
      <x:c r="G33" s="121"/>
      <x:c r="H33" s="121"/>
    </x:row>
    <x:row r="34">
      <x:c r="A34" s="108" t="str">
        <x:v>age</x:v>
      </x:c>
      <x:c r="B34" s="108" t="str">
        <x:v>Under 18</x:v>
      </x:c>
      <x:c r="C34" s="144" t="n">
        <x:v>24</x:v>
      </x:c>
      <x:c r="D34" s="165" t="n">
        <x:v>0.13259668508287292</x:v>
      </x:c>
      <x:c r="E34" s="121"/>
      <x:c r="F34" s="121"/>
      <x:c r="G34" s="121"/>
      <x:c r="H34" s="121"/>
    </x:row>
    <x:row r="35">
      <x:c r="A35" s="108" t="str">
        <x:v>age</x:v>
      </x:c>
      <x:c r="B35" s="108" t="str">
        <x:v>45+</x:v>
      </x:c>
      <x:c r="C35" s="144" t="n">
        <x:v>6</x:v>
      </x:c>
      <x:c r="D35" s="165" t="n">
        <x:v>0.03314917127071823</x:v>
      </x:c>
      <x:c r="E35" s="121"/>
      <x:c r="F35" s="121"/>
      <x:c r="G35" s="121"/>
      <x:c r="H35" s="121"/>
    </x:row>
    <x:row r="36">
      <x:c r="A36" s="108" t="str">
        <x:v>status</x:v>
      </x:c>
      <x:c r="B36" s="108" t="str">
        <x:v>Full-time student</x:v>
      </x:c>
      <x:c r="C36" s="144" t="n">
        <x:v>65</x:v>
      </x:c>
      <x:c r="D36" s="165" t="n">
        <x:v>0.35911602209944754</x:v>
      </x:c>
      <x:c r="E36" s="121"/>
      <x:c r="F36" s="121"/>
      <x:c r="G36" s="121"/>
      <x:c r="H36" s="121"/>
    </x:row>
    <x:row r="37">
      <x:c r="A37" s="108" t="str">
        <x:v>status</x:v>
      </x:c>
      <x:c r="B37" s="108" t="str">
        <x:v>Full-time employed</x:v>
      </x:c>
      <x:c r="C37" s="144" t="n">
        <x:v>64</x:v>
      </x:c>
      <x:c r="D37" s="165" t="n">
        <x:v>0.3535911602209944</x:v>
      </x:c>
      <x:c r="E37" s="121"/>
      <x:c r="F37" s="121"/>
      <x:c r="G37" s="121"/>
      <x:c r="H37" s="121"/>
    </x:row>
    <x:row r="38">
      <x:c r="A38" s="108" t="str">
        <x:v>status</x:v>
      </x:c>
      <x:c r="B38" s="108" t="str">
        <x:v>Student + part-time work</x:v>
      </x:c>
      <x:c r="C38" s="144" t="n">
        <x:v>30</x:v>
      </x:c>
      <x:c r="D38" s="165" t="n">
        <x:v>0.16574585635359113</x:v>
      </x:c>
      <x:c r="E38" s="121"/>
      <x:c r="F38" s="121"/>
      <x:c r="G38" s="121"/>
      <x:c r="H38" s="121"/>
    </x:row>
    <x:row r="39">
      <x:c r="A39" s="108" t="str">
        <x:v>status</x:v>
      </x:c>
      <x:c r="B39" s="108" t="str">
        <x:v>Unemployed or other</x:v>
      </x:c>
      <x:c r="C39" s="144" t="n">
        <x:v>17</x:v>
      </x:c>
      <x:c r="D39" s="165" t="n">
        <x:v>0.09392265193370167</x:v>
      </x:c>
      <x:c r="E39" s="121"/>
      <x:c r="F39" s="121"/>
      <x:c r="G39" s="121"/>
      <x:c r="H39" s="121"/>
    </x:row>
    <x:row r="40">
      <x:c r="A40" s="109" t="str">
        <x:v>status</x:v>
      </x:c>
      <x:c r="B40" s="109" t="str">
        <x:v>Part-time employed</x:v>
      </x:c>
      <x:c r="C40" s="146" t="n">
        <x:v>5</x:v>
      </x:c>
      <x:c r="D40" s="166" t="n">
        <x:v>0.027624309392265192</x:v>
      </x:c>
      <x:c r="E40" s="121"/>
      <x:c r="F40" s="121"/>
      <x:c r="G40" s="121"/>
      <x:c r="H40" s="121"/>
    </x:row>
    <x:row r="41">
      <x:c r="A41" s="121"/>
      <x:c r="B41" s="121"/>
      <x:c r="C41" s="121"/>
      <x:c r="D41" s="121"/>
      <x:c r="E41" s="121"/>
      <x:c r="F41" s="121"/>
      <x:c r="G41" s="121"/>
      <x:c r="H41" s="121"/>
    </x:row>
    <x:row r="42" ht="22" customHeight="1">
      <x:c r="A42" s="122" t="str">
        <x:v>AI platforms used (multiple selections allowed)</x:v>
      </x:c>
      <x:c r="B42" s="122"/>
      <x:c r="C42" s="122"/>
      <x:c r="D42" s="122"/>
      <x:c r="E42" s="122"/>
      <x:c r="F42" s="122"/>
      <x:c r="G42" s="122"/>
      <x:c r="H42" s="122"/>
    </x:row>
    <x:row r="43">
      <x:c r="A43" s="114" t="str">
        <x:v>Platform</x:v>
      </x:c>
      <x:c r="B43" s="115" t="str">
        <x:v>N</x:v>
      </x:c>
      <x:c r="C43" s="116" t="str">
        <x:v>Percent of retained records</x:v>
      </x:c>
      <x:c r="D43" s="121"/>
      <x:c r="E43" s="121"/>
      <x:c r="F43" s="121"/>
      <x:c r="G43" s="121"/>
      <x:c r="H43" s="121"/>
    </x:row>
    <x:row r="44">
      <x:c r="A44" s="107" t="str">
        <x:v>ChatGPT (Free)</x:v>
      </x:c>
      <x:c r="B44" s="142" t="n">
        <x:v>97</x:v>
      </x:c>
      <x:c r="C44" s="164" t="n">
        <x:v>0.5359116022099447</x:v>
      </x:c>
      <x:c r="D44" s="121"/>
      <x:c r="E44" s="121"/>
      <x:c r="F44" s="121"/>
      <x:c r="G44" s="121"/>
      <x:c r="H44" s="121"/>
    </x:row>
    <x:row r="45">
      <x:c r="A45" s="108" t="str">
        <x:v>ChatGPT (Plus)</x:v>
      </x:c>
      <x:c r="B45" s="144" t="n">
        <x:v>30</x:v>
      </x:c>
      <x:c r="C45" s="165" t="n">
        <x:v>0.16574585635359113</x:v>
      </x:c>
      <x:c r="D45" s="121"/>
      <x:c r="E45" s="121"/>
      <x:c r="F45" s="121"/>
      <x:c r="G45" s="121"/>
      <x:c r="H45" s="121"/>
    </x:row>
    <x:row r="46">
      <x:c r="A46" s="108" t="str">
        <x:v>Claude</x:v>
      </x:c>
      <x:c r="B46" s="144" t="n">
        <x:v>37</x:v>
      </x:c>
      <x:c r="C46" s="165" t="n">
        <x:v>0.20441988950276244</x:v>
      </x:c>
      <x:c r="D46" s="121"/>
      <x:c r="E46" s="121"/>
      <x:c r="F46" s="121"/>
      <x:c r="G46" s="121"/>
      <x:c r="H46" s="121"/>
    </x:row>
    <x:row r="47">
      <x:c r="A47" s="108" t="str">
        <x:v>Gemini</x:v>
      </x:c>
      <x:c r="B47" s="144" t="n">
        <x:v>38</x:v>
      </x:c>
      <x:c r="C47" s="165" t="n">
        <x:v>0.2099447513812155</x:v>
      </x:c>
      <x:c r="D47" s="121"/>
      <x:c r="E47" s="121"/>
      <x:c r="F47" s="121"/>
      <x:c r="G47" s="121"/>
      <x:c r="H47" s="121"/>
    </x:row>
    <x:row r="48">
      <x:c r="A48" s="108" t="str">
        <x:v>Copilot</x:v>
      </x:c>
      <x:c r="B48" s="144" t="n">
        <x:v>25</x:v>
      </x:c>
      <x:c r="C48" s="165" t="n">
        <x:v>0.13812154696132597</x:v>
      </x:c>
      <x:c r="D48" s="121"/>
      <x:c r="E48" s="121"/>
      <x:c r="F48" s="121"/>
      <x:c r="G48" s="121"/>
      <x:c r="H48" s="121"/>
    </x:row>
    <x:row r="49">
      <x:c r="A49" s="109" t="str">
        <x:v>Other</x:v>
      </x:c>
      <x:c r="B49" s="146" t="n">
        <x:v>25</x:v>
      </x:c>
      <x:c r="C49" s="166" t="n">
        <x:v>0.13812154696132597</x:v>
      </x:c>
      <x:c r="D49" s="121"/>
      <x:c r="E49" s="121"/>
      <x:c r="F49" s="121"/>
      <x:c r="G49" s="121"/>
      <x:c r="H49" s="121"/>
    </x:row>
    <x:row r="50">
      <x:c r="A50" s="121"/>
      <x:c r="B50" s="121"/>
      <x:c r="C50" s="121"/>
      <x:c r="D50" s="121"/>
      <x:c r="E50" s="121"/>
      <x:c r="F50" s="121"/>
      <x:c r="G50" s="121"/>
      <x:c r="H50" s="121"/>
    </x:row>
    <x:row r="51">
      <x:c r="A51" s="121"/>
      <x:c r="B51" s="121"/>
      <x:c r="C51" s="121"/>
      <x:c r="D51" s="121"/>
      <x:c r="E51" s="121"/>
      <x:c r="F51" s="121"/>
      <x:c r="G51" s="121"/>
      <x:c r="H51" s="121"/>
    </x:row>
    <x:row r="52" ht="34" customHeight="1">
      <x:c r="A52" s="117" t="str">
        <x:v>Platform percentages can sum above 100% because respondents could select multiple platforms. State that explicitly beneath the manuscript table or figure.</x:v>
      </x:c>
      <x:c r="B52" s="118"/>
      <x:c r="C52" s="118"/>
      <x:c r="D52" s="118"/>
      <x:c r="E52" s="118"/>
      <x:c r="F52" s="118"/>
      <x:c r="G52" s="118"/>
      <x:c r="H52" s="119"/>
    </x:row>
  </x:sheetData>
  <x:mergeCells>
    <x:mergeCell ref="A1:H1"/>
    <x:mergeCell ref="A2:H2"/>
    <x:mergeCell ref="A4:H4"/>
    <x:mergeCell ref="A42:H42"/>
    <x:mergeCell ref="A52:H5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76" hidden="0" customWidth="1"/>
    <x:col min="4" max="4" width="64" hidden="0" customWidth="1"/>
  </x:cols>
  <x:sheetData>
    <x:row r="1" ht="32" customHeight="1">
      <x:c r="A1" s="120" t="str">
        <x:v>Research and Reporting Benchmark</x:v>
      </x:c>
      <x:c r="B1" s="120"/>
      <x:c r="C1" s="120"/>
      <x:c r="D1" s="120"/>
      <x:c r="E1" s="120"/>
      <x:c r="F1" s="120"/>
    </x:row>
    <x:row r="2" ht="30" customHeight="1">
      <x:c r="A2" s="111" t="str">
        <x:v>Primary and authoritative sources used to evaluate the study. URLs are included for auditability.</x:v>
      </x:c>
      <x:c r="B2" s="111"/>
      <x:c r="C2" s="111"/>
      <x:c r="D2" s="111"/>
      <x:c r="E2" s="111"/>
      <x:c r="F2" s="111"/>
    </x:row>
    <x:row r="3">
      <x:c r="A3" s="121"/>
      <x:c r="B3" s="121"/>
      <x:c r="C3" s="121"/>
      <x:c r="D3" s="121"/>
      <x:c r="E3" s="121"/>
      <x:c r="F3" s="121"/>
    </x:row>
    <x:row r="4">
      <x:c r="A4" s="114" t="str">
        <x:v>Area</x:v>
      </x:c>
      <x:c r="B4" s="115" t="str">
        <x:v>Source</x:v>
      </x:c>
      <x:c r="C4" s="115" t="str">
        <x:v>Why it matters here</x:v>
      </x:c>
      <x:c r="D4" s="116" t="str">
        <x:v>URL</x:v>
      </x:c>
      <x:c r="E4" s="121"/>
      <x:c r="F4" s="121"/>
    </x:row>
    <x:row r="5">
      <x:c r="A5" s="107" t="str">
        <x:v>Reporting</x:v>
      </x:c>
      <x:c r="B5" s="107" t="str">
        <x:v>APA Journal Article Reporting Standards - Quantitative</x:v>
      </x:c>
      <x:c r="C5" s="107" t="str">
        <x:v>Report design, sampling, measures, exclusions, analytic strategy, uncertainty, and limitations.</x:v>
      </x:c>
      <x:c r="D5" s="107" t="str">
        <x:v>https://apastyle.apa.org/jars/quantitative</x:v>
      </x:c>
      <x:c r="E5" s="121"/>
      <x:c r="F5" s="121"/>
    </x:row>
    <x:row r="6">
      <x:c r="A6" s="108" t="str">
        <x:v>Survey practice</x:v>
      </x:c>
      <x:c r="B6" s="108" t="str">
        <x:v>AAPOR Best Practices for Survey Research</x:v>
      </x:c>
      <x:c r="C6" s="108" t="str">
        <x:v>Transparent nonprobability sampling, unbiased questions/options, pretesting, quality monitoring, privacy, and reporting.</x:v>
      </x:c>
      <x:c r="D6" s="108" t="str">
        <x:v>https://aapor.org/standards-and-ethics/best-practices/</x:v>
      </x:c>
      <x:c r="E6" s="121"/>
      <x:c r="F6" s="121"/>
    </x:row>
    <x:row r="7">
      <x:c r="A7" s="108" t="str">
        <x:v>Transparency</x:v>
      </x:c>
      <x:c r="B7" s="108" t="str">
        <x:v>AAPOR Disclosure Standards</x:v>
      </x:c>
      <x:c r="C7" s="108" t="str">
        <x:v>Disclose methods sufficiently for independent evaluation and replication.</x:v>
      </x:c>
      <x:c r="D7" s="108" t="str">
        <x:v>https://aapor.org/standards-and-ethics/disclosure-standards/</x:v>
      </x:c>
      <x:c r="E7" s="121"/>
      <x:c r="F7" s="121"/>
    </x:row>
    <x:row r="8">
      <x:c r="A8" s="108" t="str">
        <x:v>Web surveys</x:v>
      </x:c>
      <x:c r="B8" s="108" t="str">
        <x:v>Eysenbach (2004), CHERRIES</x:v>
      </x:c>
      <x:c r="C8" s="108" t="str">
        <x:v>Web-survey reporting: recruitment, consent, duplicate prevention, completeness, and participation metrics.</x:v>
      </x:c>
      <x:c r="D8" s="108" t="str">
        <x:v>https://pmc.ncbi.nlm.nih.gov/articles/PMC1550605/</x:v>
      </x:c>
      <x:c r="E8" s="121"/>
      <x:c r="F8" s="121"/>
    </x:row>
    <x:row r="9">
      <x:c r="A9" s="108" t="str">
        <x:v>Cross-sectional</x:v>
      </x:c>
      <x:c r="B9" s="108" t="str">
        <x:v>STROBE cross-sectional checklist</x:v>
      </x:c>
      <x:c r="C9" s="108" t="str">
        <x:v>Clear design label, participant flow, variables, bias, statistical methods, and generalizability.</x:v>
      </x:c>
      <x:c r="D9" s="108" t="str">
        <x:v>https://www.strobe-statement.org/checklists/</x:v>
      </x:c>
      <x:c r="E9" s="121"/>
      <x:c r="F9" s="121"/>
    </x:row>
    <x:row r="10">
      <x:c r="A10" s="108" t="str">
        <x:v>Data quality</x:v>
      </x:c>
      <x:c r="B10" s="108" t="str">
        <x:v>Ward &amp; Meade (2023)</x:v>
      </x:c>
      <x:c r="C10" s="108" t="str">
        <x:v>Online surveys require planned prevention, identification, reporting, and handling of careless responses.</x:v>
      </x:c>
      <x:c r="D10" s="108" t="str">
        <x:v>https://doi.org/10.1146/annurev-psych-040422-045007</x:v>
      </x:c>
      <x:c r="E10" s="121"/>
      <x:c r="F10" s="121"/>
    </x:row>
    <x:row r="11">
      <x:c r="A11" s="108" t="str">
        <x:v>Data quality</x:v>
      </x:c>
      <x:c r="B11" s="108" t="str">
        <x:v>Meade &amp; Craig (2012)</x:v>
      </x:c>
      <x:c r="C11" s="108" t="str">
        <x:v>Use multiple indicators rather than one post-hoc screen for careless responding.</x:v>
      </x:c>
      <x:c r="D11" s="108" t="str">
        <x:v>https://doi.org/10.1037/a0028085</x:v>
      </x:c>
      <x:c r="E11" s="121"/>
      <x:c r="F11" s="121"/>
    </x:row>
    <x:row r="12">
      <x:c r="A12" s="108" t="str">
        <x:v>Ordinal outcomes</x:v>
      </x:c>
      <x:c r="B12" s="108" t="str">
        <x:v>Liddell &amp; Kruschke (2018)</x:v>
      </x:c>
      <x:c r="C12" s="108" t="str">
        <x:v>Ordinal ratings can be misrepresented by metric models; robust sensitivity analyses are advisable.</x:v>
      </x:c>
      <x:c r="D12" s="108" t="str">
        <x:v>https://doi.org/10.1016/j.jesp.2018.08.009</x:v>
      </x:c>
      <x:c r="E12" s="121"/>
      <x:c r="F12" s="121"/>
    </x:row>
    <x:row r="13">
      <x:c r="A13" s="108" t="str">
        <x:v>Likert robustness</x:v>
      </x:c>
      <x:c r="B13" s="108" t="str">
        <x:v>Norman (2010)</x:v>
      </x:c>
      <x:c r="C13" s="108" t="str">
        <x:v>Parametric summaries can be robust, but design and inferential assumptions still need justification.</x:v>
      </x:c>
      <x:c r="D13" s="108" t="str">
        <x:v>https://doi.org/10.1007/s10459-010-9222-y</x:v>
      </x:c>
      <x:c r="E13" s="121"/>
      <x:c r="F13" s="121"/>
    </x:row>
    <x:row r="14">
      <x:c r="A14" s="108" t="str">
        <x:v>Reliability</x:v>
      </x:c>
      <x:c r="B14" s="108" t="str">
        <x:v>McNeish (2018)</x:v>
      </x:c>
      <x:c r="C14" s="108" t="str">
        <x:v>Alpha is often overinterpreted; reliability and validity require more than a threshold rule.</x:v>
      </x:c>
      <x:c r="D14" s="108" t="str">
        <x:v>https://doi.org/10.1037/met0000144</x:v>
      </x:c>
      <x:c r="E14" s="121"/>
      <x:c r="F14" s="121"/>
    </x:row>
    <x:row r="15">
      <x:c r="A15" s="108" t="str">
        <x:v>Qualitative analysis</x:v>
      </x:c>
      <x:c r="B15" s="108" t="str">
        <x:v>Braun &amp; Clarke (2006; 2021)</x:v>
      </x:c>
      <x:c r="C15" s="108" t="str">
        <x:v>Formal thematic claims require a transparent analytic process, not only selected quotations.</x:v>
      </x:c>
      <x:c r="D15" s="108" t="str">
        <x:v>https://doi.org/10.1080/14780887.2020.1769238</x:v>
      </x:c>
      <x:c r="E15" s="121"/>
      <x:c r="F15" s="121"/>
    </x:row>
    <x:row r="16">
      <x:c r="A16" s="108" t="str">
        <x:v>Trust theory</x:v>
      </x:c>
      <x:c r="B16" s="108" t="str">
        <x:v>Lee &amp; See (2004)</x:v>
      </x:c>
      <x:c r="C16" s="108" t="str">
        <x:v>Trust should be calibrated to system capabilities and distinguished from actual reliance.</x:v>
      </x:c>
      <x:c r="D16" s="108" t="str">
        <x:v>https://doi.org/10.1518/hfes.46.1.50_30392</x:v>
      </x:c>
      <x:c r="E16" s="121"/>
      <x:c r="F16" s="121"/>
    </x:row>
    <x:row r="17">
      <x:c r="A17" s="108" t="str">
        <x:v>Automation use</x:v>
      </x:c>
      <x:c r="B17" s="108" t="str">
        <x:v>Parasuraman &amp; Riley (1997)</x:v>
      </x:c>
      <x:c r="C17" s="108" t="str">
        <x:v>Misuse, disuse, and appropriate use are distinct behavioral responses.</x:v>
      </x:c>
      <x:c r="D17" s="108" t="str">
        <x:v>https://doi.org/10.1518/001872097778543886</x:v>
      </x:c>
      <x:c r="E17" s="121"/>
      <x:c r="F17" s="121"/>
    </x:row>
    <x:row r="18">
      <x:c r="A18" s="108" t="str">
        <x:v>Trust measurement</x:v>
      </x:c>
      <x:c r="B18" s="108" t="str">
        <x:v>Kohn et al. (2021)</x:v>
      </x:c>
      <x:c r="C18" s="108" t="str">
        <x:v>Trust-in-automation measures vary widely; measure selection needs construct justification.</x:v>
      </x:c>
      <x:c r="D18" s="108" t="str">
        <x:v>https://doi.org/10.3389/fpsyg.2021.604977</x:v>
      </x:c>
      <x:c r="E18" s="121"/>
      <x:c r="F18" s="121"/>
    </x:row>
    <x:row r="19">
      <x:c r="A19" s="108" t="str">
        <x:v>Error response</x:v>
      </x:c>
      <x:c r="B19" s="108" t="str">
        <x:v>Dietvorst et al. (2015)</x:v>
      </x:c>
      <x:c r="C19" s="108" t="str">
        <x:v>People may avoid algorithms after observing errors, even relative to imperfect humans.</x:v>
      </x:c>
      <x:c r="D19" s="108" t="str">
        <x:v>https://doi.org/10.1037/xge0000033</x:v>
      </x:c>
      <x:c r="E19" s="121"/>
      <x:c r="F19" s="121"/>
    </x:row>
    <x:row r="20">
      <x:c r="A20" s="108" t="str">
        <x:v>Algorithm appreciation</x:v>
      </x:c>
      <x:c r="B20" s="108" t="str">
        <x:v>Logg et al. (2019)</x:v>
      </x:c>
      <x:c r="C20" s="108" t="str">
        <x:v>Algorithm appreciation and aversion depend on context and boundary conditions.</x:v>
      </x:c>
      <x:c r="D20" s="108" t="str">
        <x:v>https://doi.org/10.1016/j.obhdp.2018.12.005</x:v>
      </x:c>
      <x:c r="E20" s="121"/>
      <x:c r="F20" s="121"/>
    </x:row>
    <x:row r="21">
      <x:c r="A21" s="108" t="str">
        <x:v>Cognitive forcing</x:v>
      </x:c>
      <x:c r="B21" s="108" t="str">
        <x:v>Bucinca et al. (2021)</x:v>
      </x:c>
      <x:c r="C21" s="108" t="str">
        <x:v>Reducing overreliance can require behavioral interventions; self-reported care is not enough.</x:v>
      </x:c>
      <x:c r="D21" s="108" t="str">
        <x:v>https://doi.org/10.1145/3449287</x:v>
      </x:c>
      <x:c r="E21" s="121"/>
      <x:c r="F21" s="121"/>
    </x:row>
    <x:row r="22">
      <x:c r="A22" s="108" t="str">
        <x:v>Error timing</x:v>
      </x:c>
      <x:c r="B22" s="108" t="str">
        <x:v>Kim et al. (2023), When Algorithms Err</x:v>
      </x:c>
      <x:c r="C22" s="108" t="str">
        <x:v>Early vs. late errors can affect reliance differently; order is a substantive factor to manipulate.</x:v>
      </x:c>
      <x:c r="D22" s="108" t="str">
        <x:v>https://doi.org/10.1145/3557889</x:v>
      </x:c>
      <x:c r="E22" s="121"/>
      <x:c r="F22" s="121"/>
    </x:row>
    <x:row r="23">
      <x:c r="A23" s="108" t="str">
        <x:v>Attention</x:v>
      </x:c>
      <x:c r="B23" s="108" t="str">
        <x:v>Peters et al. (2026), Healthy Distrust</x:v>
      </x:c>
      <x:c r="C23" s="108" t="str">
        <x:v>Even experimentally measured visual-attention changes may not mean better verification; multimethod measurement is needed.</x:v>
      </x:c>
      <x:c r="D23" s="108" t="str">
        <x:v>https://doi.org/10.3389/fpsyg.2025.1694367</x:v>
      </x:c>
      <x:c r="E23" s="121"/>
      <x:c r="F23" s="121"/>
    </x:row>
    <x:row r="24">
      <x:c r="A24" s="108" t="str">
        <x:v>Hallucinations</x:v>
      </x:c>
      <x:c r="B24" s="108" t="str">
        <x:v>Ji et al. (2023)</x:v>
      </x:c>
      <x:c r="C24" s="108" t="str">
        <x:v>Provides taxonomy and challenges for hallucination in natural-language generation.</x:v>
      </x:c>
      <x:c r="D24" s="108" t="str">
        <x:v>https://doi.org/10.1145/3571730</x:v>
      </x:c>
      <x:c r="E24" s="121"/>
      <x:c r="F24" s="121"/>
    </x:row>
    <x:row r="25">
      <x:c r="A25" s="109" t="str">
        <x:v>LLM behavior</x:v>
      </x:c>
      <x:c r="B25" s="109" t="str">
        <x:v>GPT-4 Technical Report (OpenAI, 2023)</x:v>
      </x:c>
      <x:c r="C25" s="109" t="str">
        <x:v>Supports contextual discussion of limitations, not the paper's human-behavior hypotheses.</x:v>
      </x:c>
      <x:c r="D25" s="109" t="str">
        <x:v>https://cdn.openai.com/papers/gpt-4.pdf</x:v>
      </x:c>
      <x:c r="E25" s="121"/>
      <x:c r="F25" s="121"/>
    </x:row>
  </x:sheetData>
  <x:mergeCells>
    <x:mergeCell ref="A1:F1"/>
    <x:mergeCell ref="A2:F2"/>
  </x:mergeCells>
  <x:pageMargins left="0.7" right="0.7" top="0.75" bottom="0.75" header="0.3" footer="0.3"/>
</x:worksheet>
</file>